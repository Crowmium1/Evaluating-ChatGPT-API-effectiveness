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jfit\Desktop\Coding Projects\WFDF Quiz App\Context prompt files\"/>
    </mc:Choice>
  </mc:AlternateContent>
  <xr:revisionPtr revIDLastSave="0" documentId="13_ncr:40009_{FA105E3D-25A7-4595-B4D6-06B3B3ED4948}" xr6:coauthVersionLast="47" xr6:coauthVersionMax="47" xr10:uidLastSave="{00000000-0000-0000-0000-000000000000}"/>
  <bookViews>
    <workbookView xWindow="-98" yWindow="-98" windowWidth="21795" windowHeight="14595"/>
  </bookViews>
  <sheets>
    <sheet name="quick_context_excel" sheetId="2" r:id="rId1"/>
  </sheets>
  <functionGroups builtInGroupCount="19"/>
  <definedNames>
    <definedName name="_xlnm._FilterDatabase" localSheetId="0" hidden="1">quick_context_excel!$A$1:$F$251</definedName>
  </definedNames>
  <calcPr calcId="0"/>
</workbook>
</file>

<file path=xl/calcChain.xml><?xml version="1.0" encoding="utf-8"?>
<calcChain xmlns="http://schemas.openxmlformats.org/spreadsheetml/2006/main">
  <c r="I6" i="2" l="1"/>
  <c r="J6" i="2" s="1"/>
  <c r="K6" i="2"/>
  <c r="K5" i="2"/>
  <c r="I5" i="2"/>
  <c r="J5" i="2" s="1"/>
  <c r="K4" i="2"/>
  <c r="I4" i="2"/>
  <c r="J4" i="2" s="1"/>
  <c r="K3" i="2"/>
  <c r="I3" i="2"/>
  <c r="J3" i="2" s="1"/>
  <c r="K2" i="2"/>
  <c r="I2" i="2"/>
  <c r="A252" i="2"/>
  <c r="B252" i="2"/>
  <c r="C252" i="2"/>
  <c r="E25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F245" i="2"/>
  <c r="F238" i="2"/>
  <c r="F230" i="2"/>
  <c r="F223" i="2"/>
  <c r="F148" i="2"/>
  <c r="F220" i="2"/>
  <c r="F219" i="2"/>
  <c r="F215" i="2"/>
  <c r="F145" i="2"/>
  <c r="F144" i="2"/>
  <c r="F141" i="2"/>
  <c r="F135" i="2"/>
  <c r="F213" i="2"/>
  <c r="F117" i="2"/>
  <c r="F211" i="2"/>
  <c r="F115" i="2"/>
  <c r="F210" i="2"/>
  <c r="F104" i="2"/>
  <c r="F209" i="2"/>
  <c r="F98" i="2"/>
  <c r="F202" i="2"/>
  <c r="F192" i="2"/>
  <c r="F191" i="2"/>
  <c r="F96" i="2"/>
  <c r="F190" i="2"/>
  <c r="F95" i="2"/>
  <c r="F94" i="2"/>
  <c r="F189" i="2"/>
  <c r="F188" i="2"/>
  <c r="F91" i="2"/>
  <c r="F88" i="2"/>
  <c r="F85" i="2"/>
  <c r="F83" i="2"/>
  <c r="F185" i="2"/>
  <c r="F82" i="2"/>
  <c r="F181" i="2"/>
  <c r="F81" i="2"/>
  <c r="F76" i="2"/>
  <c r="F75" i="2"/>
  <c r="F71" i="2"/>
  <c r="F68" i="2"/>
  <c r="F66" i="2"/>
  <c r="F61" i="2"/>
  <c r="F178" i="2"/>
  <c r="F60" i="2"/>
  <c r="F173" i="2"/>
  <c r="F171" i="2"/>
  <c r="F53" i="2"/>
  <c r="F170" i="2"/>
  <c r="F50" i="2"/>
  <c r="F49" i="2"/>
  <c r="F163" i="2"/>
  <c r="F162" i="2"/>
  <c r="F47" i="2"/>
  <c r="F44" i="2"/>
  <c r="F43" i="2"/>
  <c r="F40" i="2"/>
  <c r="F159" i="2"/>
  <c r="F39" i="2"/>
  <c r="F32" i="2"/>
  <c r="F31" i="2"/>
  <c r="F27" i="2"/>
  <c r="F23" i="2"/>
  <c r="F21" i="2"/>
  <c r="F157" i="2"/>
  <c r="F15" i="2"/>
  <c r="F13" i="2"/>
  <c r="F9" i="2"/>
  <c r="F8" i="2"/>
  <c r="F3" i="2"/>
  <c r="F2" i="2"/>
  <c r="D2" i="2"/>
  <c r="K7" i="2" l="1" a="1"/>
  <c r="K7" i="2" s="1"/>
  <c r="I7" i="2" a="1"/>
  <c r="I7" i="2" s="1"/>
  <c r="J2" i="2"/>
  <c r="J7" i="2" s="1" a="1"/>
  <c r="J7" i="2" s="1"/>
  <c r="D252" i="2"/>
  <c r="F25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<sst xmlns="http://schemas.openxmlformats.org/spreadsheetml/2006/main" count="587" uniqueCount="290">
  <si>
    <t>Chat</t>
  </si>
  <si>
    <t>Efficiency</t>
  </si>
  <si>
    <t>Variance</t>
  </si>
  <si>
    <t>Occurances</t>
  </si>
  <si>
    <t>Relative Occurances</t>
  </si>
  <si>
    <t>Relative Efficiency</t>
  </si>
  <si>
    <t>me_clean_1</t>
  </si>
  <si>
    <t>General</t>
  </si>
  <si>
    <t>me_clean_2</t>
  </si>
  <si>
    <t>Calling Fouls</t>
  </si>
  <si>
    <t>me_clean_3</t>
  </si>
  <si>
    <t>Infractions and Violations</t>
  </si>
  <si>
    <t>gpt4_clean_1</t>
  </si>
  <si>
    <t>Turnovers</t>
  </si>
  <si>
    <t>Receivers and Positioning</t>
  </si>
  <si>
    <t>The Pull</t>
  </si>
  <si>
    <t>Fouls</t>
  </si>
  <si>
    <t>Stoppages</t>
  </si>
  <si>
    <t>Time-Outs</t>
  </si>
  <si>
    <t>Definitions</t>
  </si>
  <si>
    <t>Validate</t>
  </si>
  <si>
    <t>Question Text</t>
  </si>
  <si>
    <t>Feedback</t>
  </si>
  <si>
    <t>If play has stopped because of a foul call, any player can choose to move to avoid a potential pick, even without agreement from the opposition. (18.3.3.1)</t>
  </si>
  <si>
    <t>See Rule 18.3.3.1. Must be in agreement with the opposition.</t>
  </si>
  <si>
    <t xml:space="preserve">A 'catch' is defined as when a player demonstrates sustained control of a non-spinning disc. (12.1)
</t>
  </si>
  <si>
    <t>See Rule 12.1 This rule was updated in 2021</t>
  </si>
  <si>
    <t>A pick can occur when a defender is obstructed by another player, and this prevents them from moving towards/with the opponent they are guarding. (18.3.1)</t>
  </si>
  <si>
    <t>Correct</t>
  </si>
  <si>
    <t>A defender can purposefully bobble the disc to themselves for the sole purpose of moving in a specific direction. (18.2.5.5)</t>
  </si>
  <si>
    <t>If the offence drops the pull and the disc hits the ground, it is a turnover. (13.1.4)</t>
  </si>
  <si>
    <t>If offensive and defensive players catch the disc simultaneously, the disc is returned to the thrower. (12.3)</t>
  </si>
  <si>
    <t>After a stall-out turnover, the marker at the time of the stall-out must take possession of the disc. (13.5)</t>
  </si>
  <si>
    <t>See Rule 13.5</t>
  </si>
  <si>
    <t>A pick can be called if a defender is prevented from moving towards the disc to try and get a block, regardless of where their opponent is. (18.3.1)</t>
  </si>
  <si>
    <t>See Rule 18.3.1 - a pick can apply when a defender is prevented from moving towards their opponent, not the disc</t>
  </si>
  <si>
    <t xml:space="preserve">A 'Wrapping' marking infraction may only be called by the thrower. (15.5)
</t>
  </si>
  <si>
    <t>It is solely up to the offence to take reasonable efforts to avoid the occurrence of picks. (18.3.3)</t>
  </si>
  <si>
    <t xml:space="preserve">If a player is not reasonably certain that they will be able to make a legal play at the disc before an opponent who is moving in a legal manner, they may call 'Dangerous Play' and the disc will be returned to the thrower. (12.6.1.)
</t>
  </si>
  <si>
    <t xml:space="preserve"> A player from team A drops a catch in the central zone.  The disc stays at the location of the dropped catch. The player who takes possession from team B must establish a pivot point at any point that they can reach the disc from. (13.7.1, 13.9)
</t>
  </si>
  <si>
    <t>See Rule 13.7.1 and 13.9</t>
  </si>
  <si>
    <t xml:space="preserve"> There is a foul by the thrower on a completed pass.  The thrower does not contest the call.  The disc is returned to the thrower. The stall count restarts at a maximum of nine (9). (9.5.2)
</t>
  </si>
  <si>
    <t>If a thrower has multiple options for a pivot point, the marker can choose which is the pivot point. (Definitions)</t>
  </si>
  <si>
    <t>See Definition of Pivot. This rule was updated in 2021</t>
  </si>
  <si>
    <t xml:space="preserve">After an accepted 'stall-out' play continues without a stoppage. (13.2)
</t>
  </si>
  <si>
    <t xml:space="preserve"> The defence (Team A) is offside for the pull.  The offence (Team B) calls offside while the disc is still in the air.  The offence drops the pull. Team B can pick the disc up and establish a pivot point as per the offside rule. (7.5)
</t>
  </si>
  <si>
    <t xml:space="preserve"> A player initiates a stoppage incorrectly while the disc is in the air.  The opposition catches the disc. The pass stands. (15.9)
</t>
  </si>
  <si>
    <t>Pivots and wind-ups are not part of the act of throwing. (Definitions)</t>
  </si>
  <si>
    <t xml:space="preserve"> A player catches a pass.  They then maintain that catch for more than one noticeable instant.  They maintain the catch throughout all ground contact related to the catch. The player has established possession of a pass. (Definitions)
</t>
  </si>
  <si>
    <t>Pivots and wind-ups are part of the act of throwing. (Definitions)</t>
  </si>
  <si>
    <t>See the definition of ?Throwing motion</t>
  </si>
  <si>
    <t>If the thrower is called for a travel infraction, their teammate can contest the call. (15.10)</t>
  </si>
  <si>
    <t xml:space="preserve"> A pass from Team A is intercepted in the central zone by a player from Team B.  The player from Team B then intentionally drops the disc. This is a 'double turnover' and Team A can now take possession. (13.6)
</t>
  </si>
  <si>
    <t>See Rule 13.6</t>
  </si>
  <si>
    <t>The disc must be ground tapped when starting play at the brick mark after the pull. (7.12)</t>
  </si>
  <si>
    <t xml:space="preserve">For a stall-out turnover, the thrower must still be in possession of the disc when the marker starts saying 'ten'. (13.2.2)
</t>
  </si>
  <si>
    <t>If play has stopped because of a foul call, two opponents in the stack can agree to move slightly to avoid a potential pick. (18.3.3.1)</t>
  </si>
  <si>
    <t xml:space="preserve">The pull lands in bounds and stops in the end zone, without ever going out-of-bounds. The thrower can choose to establish a pivot:
- at the location of the disc, or
- at the goal line closest to where the disc stopped. (7.10)
</t>
  </si>
  <si>
    <t>See Rule 7.10</t>
  </si>
  <si>
    <t xml:space="preserve"> A player lays out for a pass and gets injured, without any contact from an opponent.  They call 'injury'. They must choose either to be substituted, or to charge their own team with a time-out. (19.1.2)
</t>
  </si>
  <si>
    <t>If a thrower has multiple options for a pivot point, the pivot point is not determined until they pivot. (Definitions)</t>
  </si>
  <si>
    <t>If you ignored minor travels at the start of the game, it is acceptable to call them once the scores are close and the game is about the end. (1.3.9)</t>
  </si>
  <si>
    <t xml:space="preserve"> A defensive receiving foul is called.  The call is contested.  The disc is returned to the thrower. The two players involved in the foul call must stay where they were when the foul occurred. (10.2.2.1)
</t>
  </si>
  <si>
    <t>See Rule 10.2.2.1</t>
  </si>
  <si>
    <t xml:space="preserve"> The thrower establishes a pivot point at the wrong spot  A travel is called.  The thrower still has the disc.  The thrower establishes a pivot point at the correct spot. The thrower must wait until the marker resumes the stall count before they can make a pass. (18.2.6.2)
</t>
  </si>
  <si>
    <t>See Rule 18.2.6.2</t>
  </si>
  <si>
    <t xml:space="preserve"> A foul is called by Player A on defence.  The foul is not called against the thrower.  At the time of the foul call the thrower had possession, but was in the act of throwing.  The pass is incomplete. The turnover can only stand if the foul or the call did not affect the outcome. (16.2, 16.3)
</t>
  </si>
  <si>
    <t>If you no longer believe that a call you made was correct, you should retract it. (15.11)</t>
  </si>
  <si>
    <t xml:space="preserve"> There is a contested receiving foul.  The disc is returned to the thrower.  The stall count is at 'Stalling 6'.  A defender moves before the check and a violation is called.  The defender accepts that they moved before the check. The stall count must remain at 'Stalling 6' when play restarts. (9.5.4.2)
</t>
  </si>
  <si>
    <t xml:space="preserve"> An offensive player catches the disc in-bounds.  Their momentum causes them to leave the central zone and go out-of-bounds. They must establish a pivot point in-bounds at the location where they crossed the perimeter line. (11.3.2.1)
</t>
  </si>
  <si>
    <t>There is an accepted defensive receiving foul in the attacking end zone. The receiver gets possession in the end zone, then the disc is checked in, and then the receiver moves to the goal line. (17.2.2)</t>
  </si>
  <si>
    <t>After an accepted foul by the defence the stall count restarts at a maximum of six (6). (9.5.1)</t>
  </si>
  <si>
    <t xml:space="preserve"> There has been a time-out during play.  The defence changes the player who is marking the thrower. The stall count must restart at Stalling 1. (20.3.6)
</t>
  </si>
  <si>
    <t>See Rules 20.3.6</t>
  </si>
  <si>
    <t>The marker can have their head above the throwers pivot, as long as it is one disc diameter away from the torso of the thrower. (18.1.1.4)</t>
  </si>
  <si>
    <t>See Rule 18.1.1.4.</t>
  </si>
  <si>
    <t>An injury stoppage is considered to have been called at the time of the injury, unless the injured player chooses to continue play before the stoppage is called. (19.1.5)</t>
  </si>
  <si>
    <t xml:space="preserve"> An offensive player catches the disc in the central zone.  Their momentum causes them to leave the central zone and go into their attacking end zone. They must restart play with a ground tap. (14.3)
</t>
  </si>
  <si>
    <t>A defender is guarding an offensive player when they are within five meters of that offensive player and are reacting to that offensive player. (Definitions)</t>
  </si>
  <si>
    <t>See the definition of ?Guarding</t>
  </si>
  <si>
    <t xml:space="preserve"> A player catches the disc while running.  They do not change direction.  They do not increase speed.  They make only 1 additional point of contact with the ground after the catch. They may release a pass while airborne (18.2.2.1)
</t>
  </si>
  <si>
    <t>See Rule 18.2.2.1. This rule was updated in 2021</t>
  </si>
  <si>
    <t>If after discussion players cannot agree what would most likely have occurred in a play the disc must be returned to the last non-disputed thrower. (1.12)</t>
  </si>
  <si>
    <t xml:space="preserve"> A player catches the disc while running.  They do not change direction.  They do not increase speed.  They make 3 additional points of contact with the ground after the catch. They may release a pass while airborne (18.2.2.1)
</t>
  </si>
  <si>
    <t>A Strip Foul occurs when an opponent fouls a player and that causes the player to drop a disc they caught or to lose possession of the disc. (17.3.1)</t>
  </si>
  <si>
    <t>See Rule 17.3.1. This rule was updated in 2021</t>
  </si>
  <si>
    <t>You can only call dangerous play if contact occurs. (17.1.1)</t>
  </si>
  <si>
    <t>If the offence are walking the disc up from the back of the endzone, they can choose to change from walking to running. (8.5)</t>
  </si>
  <si>
    <t>See Rule 8.5</t>
  </si>
  <si>
    <t xml:space="preserve">If the marker initiates minor contact with the thrower's chest, the thrower may call 'Contact'. (17.6.1.3)
</t>
  </si>
  <si>
    <t>See Rule 17.6.1.3. The contact must be non-minor.</t>
  </si>
  <si>
    <t xml:space="preserve"> An offensive player catches the disc and lands in-bounds.  Their momentum causes them to leave the central zone and go out-of-bounds. This is a turnover. (11.3.2)
</t>
  </si>
  <si>
    <t>If an offensive player is standing over the disc after a turnover, the marker can start the stall count straight away. (8.5.2.1)</t>
  </si>
  <si>
    <t xml:space="preserve">If players agree to ask a person on the sideline for their perspective on an out of bounds call, they must accept that person's call. (1.10.2, 1.11)
</t>
  </si>
  <si>
    <t xml:space="preserve">A 'Straddle' marking infraction may be called by any opposing player. (15.5)
</t>
  </si>
  <si>
    <t xml:space="preserve"> An offensive player catches the disc in-bounds.  Their momentum causes them to leave the central zone and go out-of-bounds. They must restart play with a ground tap. (11.3.2.1)
</t>
  </si>
  <si>
    <t>If play is obstructed by non-players within three (3) metres of the perimeter line, a violation may be called by the thrower in possession or any obstructed player. (2.7)</t>
  </si>
  <si>
    <t xml:space="preserve"> The pull hits the ground out-of-bounds  Player A, on offence, picks up the disc  Player A gives the disc to teammate Player B This is a turnover (13.6)
</t>
  </si>
  <si>
    <t xml:space="preserve">If a player signals 'brick', they must also pick up the disc. (7.12)
</t>
  </si>
  <si>
    <t>See Rule 7.12.</t>
  </si>
  <si>
    <t xml:space="preserve">Contact with an opponent's hands that occurs after the opponent can no longer make a play on the disc is not a sufficient basis for a foul, but should be avoided (excluding contact related to Dangerous Play and Strip). (17.2.1.1.)
</t>
  </si>
  <si>
    <t xml:space="preserve"> Two opposing players move towards a single point simultaneously.  1 player catches the disc cleanly.  After the catch non-minor contact occurs between the players.  The contact was caused by both players.  It is not a Dangerous play. This must be treated as an Indirect Foul (17.9.2.1)
</t>
  </si>
  <si>
    <t>People on the side line must not give advice on foul calls, unless they are asked by the players involved. (1.10.2)</t>
  </si>
  <si>
    <t>A player intentionally initiating minor contact is still a breach of the rules, but is to be treated as a violation, and not a foul. (15.1.1.)</t>
  </si>
  <si>
    <t>See Rule 15.1.1.</t>
  </si>
  <si>
    <t>If there is a deliberate breach of the rules, the captains should discuss this and determine an appropriate outcome, even if that outcome is not in accordance with a specific rule. (1.2.1)</t>
  </si>
  <si>
    <t xml:space="preserve"> A violation is called downfield.  The thrower does not hear the call and makes a pass a few seconds later.  The disc is returned to the thrower. Players must return to the location they were in when the pass was thrown. (10.2.2.1)
</t>
  </si>
  <si>
    <t>See Rule 10.2.2.1. They must return to where they were at the time of the call.</t>
  </si>
  <si>
    <t xml:space="preserve"> There is a contested receiving foul.  The disc is returned to the thrower.  The stall count is at 'Stalling 6'.  A defender moves before the check and a violation is called.  The defender accepts that they moved before the check. The stall count must be changed to 'Stalling 1' when play restarts. (9.5.4.2)
</t>
  </si>
  <si>
    <t xml:space="preserve">After a 'stall-out' turnover play must stop. (13.2)
</t>
  </si>
  <si>
    <t>If a defender runs within 3 metres of the throwers pivot, this is a double team. (18.1.1.5)</t>
  </si>
  <si>
    <t>See Rule 18.1.1.5.</t>
  </si>
  <si>
    <t xml:space="preserve">For a stall-out turnover, the thrower must still be in possession of the disc when the marker finishes saying 'ten'. (13.2.2)
</t>
  </si>
  <si>
    <t xml:space="preserve"> The offence makes an 'offside' call against the defence.  They let the disc hit the ground untouched. The offence can resume play as if a brick has been called (no check is required) (7.5.2)
</t>
  </si>
  <si>
    <t xml:space="preserve">It can only be a 'Wrapping' infraction if a line between a defensive player's hands or arms intersects the thrower's torso (18.1.1.4)
</t>
  </si>
  <si>
    <t>See Rule 18.1.1.4. This rule was updated in 2021</t>
  </si>
  <si>
    <t xml:space="preserve"> A defensive receiving foul is called as two players attempt to catch the disc.  The call is contested.  The disc is returned to the thrower to restart play. All players must return to where they were when play stopped. (10.2.2.1)
</t>
  </si>
  <si>
    <t xml:space="preserve"> A receiver is in the process of establishing possession of the disc.  The receiver is fouled by a defensive player before establishing possession.  The contact caused the receiver to establish possession out-of-bounds instead of in-bounds. The receiver can call a Force-out Foul (17.5.1.)
</t>
  </si>
  <si>
    <t xml:space="preserve"> The thrower has the disc.  A defender calls pick.  A pass is attempted and it is intercepted in the air by another defender. The disc must return to the thrower, even if the pick, and the pick call, did not affect the play. (16.3)
</t>
  </si>
  <si>
    <t xml:space="preserve"> The thrower calls a foul on the marker as they make a pass.  The intended receiver drops the pass but calls a foul on their defender.  The defender contests the receiving foul, but the marker does not contest the marking foul.  The disc is returned to the thrower. The stall count should restart at 'Stalling 1'. (9.5.4.1, 9.5.1)
</t>
  </si>
  <si>
    <t xml:space="preserve"> The thrower calls a marking violation for repeated double teams.  At the same time the thrower attempts a pass.  The pass is incomplete. The disc comes back to the thrower. (18.1.6)
</t>
  </si>
  <si>
    <t xml:space="preserve"> An offensive receiver runs into a defender and knocks them over.  The thrower still has the disc.  The defender calls a foul. This must be treated as an indirect foul. (17.8.1)
</t>
  </si>
  <si>
    <t>See Rule 17.8.1</t>
  </si>
  <si>
    <t xml:space="preserve"> The thrower calls 'Contact'.  The marker accepts the call and play does not stop. The marker must resume the stall count at one (1), but only if another marking infraction has occurred during the same throwers possession. (17.6.1.3)
</t>
  </si>
  <si>
    <t>See Rule 17.6.1.3.</t>
  </si>
  <si>
    <t>See Rule 12.3</t>
  </si>
  <si>
    <t>The thrower is allowed to intentionally deflect a pass off an opponent, as long as they move from the spot they threw it before they catch it. (13.2.4)</t>
  </si>
  <si>
    <t>Teams must get ready for the pull within 10 seconds of the opposition signalling readiness. (7.1.1)</t>
  </si>
  <si>
    <t>See Rule 7.1.1</t>
  </si>
  <si>
    <t>A player who has an issue regarding an open or bleeding wound has seventy (70) seconds to effectively address the issue. If they need additional time to address the issue, they must choose either to be substituted, or to charge their own team with a time-out. (19.2.1.2)</t>
  </si>
  <si>
    <t xml:space="preserve">The marker must leave a gap of one second between the start of the word 'Stalling' and the start of the word 'One' in a stall count. (9.1)
</t>
  </si>
  <si>
    <t>See Rule 9.1</t>
  </si>
  <si>
    <t xml:space="preserve">The player who initiates contact is deemed to be the player who
- arrived at the point of contact after the opponent had already established a legitimate position at that point (either a stationary or moving opponent), or
- adjusted their movements in a way that created unavoidable contact with an opponent moving in a legal manner, when taking into account all players? established position, speed and direction (12.7)
</t>
  </si>
  <si>
    <t xml:space="preserve">Contact with an opponent's hands that occurs after the opponent can no longer make a play on the disc is a sufficient basis for a foul. (17.2.1.1.)
</t>
  </si>
  <si>
    <t>See Rule 18.3.3.1.</t>
  </si>
  <si>
    <t xml:space="preserve"> The turnover location is in the offence's defending end zone.  The intended thrower has not picked up the disc yet. The intended thrower may signal the goal line option by fully extending one arm above their head. (13.11.2.1)
</t>
  </si>
  <si>
    <t xml:space="preserve">It is a 'Straddle' if a line between a defensive player's feet comes within one disc diameter of the thrower's pivot point. (18.1.1.2)
</t>
  </si>
  <si>
    <t>See Rule 18.1.1.2. This rule was updated in 2021</t>
  </si>
  <si>
    <t>If a receiver is deliberately lifted into the air by a teammate to help them catch the disc, this is a violation, and the disc is returned to the thrower. (13.2.6)</t>
  </si>
  <si>
    <t>See Rule 13.2.6.</t>
  </si>
  <si>
    <t xml:space="preserve"> A marking infraction is called by the thrower.  The thrower makes a completed pass.  The marker contests the marking infraction. The disc must be returned to the thrower. (18.1.2.1)
</t>
  </si>
  <si>
    <t>See Rule 18.1.2.1. This rule was updated in 2021</t>
  </si>
  <si>
    <t xml:space="preserve"> A marking infraction is called by the thrower.  The thrower makes a completed pass.  The marker contests the marking infraction. The result of the pass stands. (18.1.2.1)
</t>
  </si>
  <si>
    <t>The disc must be returned to the thrower. See Rule 18.1.2.1. This rule was updated in 2021</t>
  </si>
  <si>
    <t>The puller can have one foot in the central zone when the pull is released, as long as the other foot is in the end zone. (7.4)</t>
  </si>
  <si>
    <t xml:space="preserve"> Non-minor contact occurs between a receiver and a defender  They are both making a play on the disc and move towards a single point simultaneously  Both players caused the contact  The disc was caught after the contact occurred This should be treated as offsetting fouls. (17.9.2)
</t>
  </si>
  <si>
    <t>The time at which a goal is deemed to have been scored is when the defence accepts a goal has occurred. (14.4)</t>
  </si>
  <si>
    <t xml:space="preserve"> The offence makes an 'offside' call against the defence.  The offence then catches the pull. They can resume play as if a brick had been called (7.5.2)
</t>
  </si>
  <si>
    <t xml:space="preserve"> Team A is causing an unnecessary delay in checking the disc in.  Team B gives a warning to team A.  Team A continues to delay checking the disc in. Team B can check the disc in, even if members of Team B are still moving. (10.5)
</t>
  </si>
  <si>
    <t>See Rule 10.5. This rule was updated in 2021</t>
  </si>
  <si>
    <t xml:space="preserve"> An offensive player catches the disc in the end zone they are attacking.  They then lose possession due to ground contact related to the catch.  The disc hits the ground. This is a turnover. (14.1.2)
</t>
  </si>
  <si>
    <t>After the pull an offensive player must move at walking pace or faster to directly retrieve the disc and establish a pivot. (8.5)</t>
  </si>
  <si>
    <t xml:space="preserve"> A player establishes possession of the disc, and then they are injured.  The injury causes them to drop the disc. That player retains possession of the disc. (19.1.4)
</t>
  </si>
  <si>
    <t xml:space="preserve"> A player attempts to stop a rolling disc.  They significantly alter the disc's position. They must immediately move the disc to the correct spot. (8.4.1)
</t>
  </si>
  <si>
    <t xml:space="preserve"> A player gets fouled.  They call injury as a result of the foul. They must choose either to be substituted, or to charge their own team with a time-out. (19.1.3)
</t>
  </si>
  <si>
    <t xml:space="preserve">Minor contact is defined as 'Contact that involves minimal physical force and does not alter the movements or position of another player.' (Definitions)
</t>
  </si>
  <si>
    <t xml:space="preserve"> A player from team A drops a catch in the central zone.  The disc stays at the location of the dropped catch. The player who takes possession from team B must establish a pivot point at the location of the disc. (13.7.1, 13.9)
</t>
  </si>
  <si>
    <t xml:space="preserve"> The thrower and the marker are both vying for the same unoccupied position.  A marker is legally positioned.  Non-minor contact occurs. This is an off-setting foul. (17.6.1.2)
</t>
  </si>
  <si>
    <t>See Rule 17.6.1.2</t>
  </si>
  <si>
    <t xml:space="preserve"> There has been a turnover out of bounds.  The thrower picks up the disc.  The thrower runs to the pivot location.  As they run, they wind up for a throw.  Then they establish a pivot and make a pass. This is a travel infraction (18.2.5.3)
</t>
  </si>
  <si>
    <t>After signalling readiness, and prior to the pull, the offence must stand stationary anywhere in the endzone. (7.3)</t>
  </si>
  <si>
    <t>Whenever a foul or violation call is made, play stops immediately and no turn over is possible . There are no exceptions to this rule. (16.1)</t>
  </si>
  <si>
    <t xml:space="preserve">Minor contact is specifically defined as 'contact that does not affect continued play'. (Definitions)
</t>
  </si>
  <si>
    <t xml:space="preserve"> An injury stoppage occurs.  The injured player is leaving the field. Players are allowed to move to establish a stack before the substitute comes on the field. (10.2.3)
</t>
  </si>
  <si>
    <t>A player may call a violation regarding the check if their teammate was not in the appropriate position (10.7)</t>
  </si>
  <si>
    <t>A disc in the possession of a player, or caught by a player, is considered part of that player. (Definitions)</t>
  </si>
  <si>
    <t xml:space="preserve"> A defensive receiving foul is called as two players attempt to catch the disc.  The call is contested.  The disc is returned to the thrower to restart play. All players must return to where they were when the thrower released the disc. (10.2.2.1)
</t>
  </si>
  <si>
    <t>If the thrower calls a time-out while play is live and when their team has no more time-outs, the time-out call has no effect. (20.4)</t>
  </si>
  <si>
    <t>After a second contested stall-out due to a fast count, the stall count must restart on Stalling 6. (9.5.3)</t>
  </si>
  <si>
    <t xml:space="preserve"> An offensive player catches the disc in-bounds.  Their momentum causes them to leave the central zone and go out-of-bounds. They must establish a pivot in-bounds at the nearest point on the perimeter line. (11.3.2.1)
</t>
  </si>
  <si>
    <t>After a turnover out-of-bounds the thrower must establish a pivot at the correct spot before they can call a time-out. (20.3)</t>
  </si>
  <si>
    <t>See Rule 20.3. They can call it once they establish possession.</t>
  </si>
  <si>
    <t xml:space="preserve">If there is a deliberate breach of the rules, the captains should discuss this, but they can't change the outcome of the play as determined by the rules (1.2.1)
</t>
  </si>
  <si>
    <t>A travel infraction may only be called by the marker. (15.5.1)</t>
  </si>
  <si>
    <t>If a defender uses an item of equipment, such as their hat, to help block the disc, the block is allowed. (12.10)</t>
  </si>
  <si>
    <t xml:space="preserve"> The pull hits the ground and is rolling along the ground  Player A, on offence, stops the disc rolling by picking up the disc  Player A immediately puts the disc back on the ground This is a turnover (13.6)
</t>
  </si>
  <si>
    <t xml:space="preserve"> The thrower releases the disc,  The thrower then taps the disc to avoid an interception by a defender.  The disc hits the ground. The defender gets possession where they would have caught the pass. (13.2.5)
</t>
  </si>
  <si>
    <t>See Rule 13.2.5.</t>
  </si>
  <si>
    <t xml:space="preserve"> A player from team A drops a catch in the end zone.  The disc stays at the location of the dropped catch. Team B must put the disc into play within 10 seconds of the disc coming to rest. (8.5.1.2)
</t>
  </si>
  <si>
    <t xml:space="preserve"> The thrower calls a foul on the marker as they make a pass.  The intended receiver drops the pass but calls a foul on their defender.  The defender contests the receiving foul, but the marker does not contest the marking foul.  The disc is returned to the thrower. The stall count should restart at 'Stalling 6'. (9.5.4.1, 9.5.1)
</t>
  </si>
  <si>
    <t xml:space="preserve"> A 'Pick' is called while the disc is in the air.  The receiver drops the disc. If the receiver believes the 'Pick' call affected the play, then the disc goes back to the thrower. (16.2.4.1)
</t>
  </si>
  <si>
    <t>See Rule 16.2.4.1. Because the disc was in the air when the call was made, this is a turnover, regardless of whether or not the call affected the play.</t>
  </si>
  <si>
    <t xml:space="preserve">If a line between the markers hands crosses the throwers pivot foot, this is a wrapping marking infraction. (18.1.1.4)
</t>
  </si>
  <si>
    <t xml:space="preserve"> The thrower fakes a pass.  As they do, they move their foot away from the pivot location.  The marker calls travel and points to the correct pivot location.  The thrower establishes a pivot at the correct location. The marker must say 'Stalling' before resuming the stall count. (18.2.6.3)
</t>
  </si>
  <si>
    <t xml:space="preserve">If a defender other then the marker sees that the thrower has travelled, they can call 'travel'. (15.5.1)
</t>
  </si>
  <si>
    <t>If a novice player is involved in a breach and does not know the rules, experienced players should assist to explain the breach (1.8)</t>
  </si>
  <si>
    <t xml:space="preserve">If the disc is on the ground after a stoppage, to restart play the offence player nearest to the disc must call 'Disc In'. (10.6.2)
</t>
  </si>
  <si>
    <t xml:space="preserve">Actions such as intentional fouling, cheating, dangerous plays, disrespectful conversations, and other 'win at all costs' behaviour must be avoided. (1.6)
</t>
  </si>
  <si>
    <t>An Offensive Throwing Foul occurs when the thrower is solely responsible for initiating non-minor contact with a defensive player who is in a legal position. (17.7.1.)</t>
  </si>
  <si>
    <t>See Rule 17.9.2.1. This rule was updated in 2021</t>
  </si>
  <si>
    <t xml:space="preserve"> A receiver catches a pass that is very close to the ground.  There is a stoppage to discuss what happened.  After discussion it is unclear if the disc touched the ground before the catch. The disc should be returned to the thrower (1.12)
</t>
  </si>
  <si>
    <t xml:space="preserve"> The defence is offside for the pull.  The offence calls offside while the disc is still in the air.  The offence drops the pull. This is a turnover. (7.5, 7.8)
</t>
  </si>
  <si>
    <t>See Rules 7.5. and 7.8. This rule was updated in 2021</t>
  </si>
  <si>
    <t xml:space="preserve">If a player on offence calls and signals 'Brick', the intended thrower may choose to ignore their teammates call and take it from the sideline. (7.12)
</t>
  </si>
  <si>
    <t xml:space="preserve"> A time-out has been called during play.  The marker has not been switched. The stall count restarts at maximum nine (9). (20.3.6.)
</t>
  </si>
  <si>
    <t>See Rule 20.3.6. This rule was updated in 2021</t>
  </si>
  <si>
    <t>See Rule 18.1.6.</t>
  </si>
  <si>
    <t xml:space="preserve"> Player A establishes possession of a pass very close to the end zone.  A few seconds later Player A calls 'goal'.  There is a discussion which determines it was not a goal. All players must return to where they were when Player A established possession. (14.2, 10.2.1)
</t>
  </si>
  <si>
    <t xml:space="preserve">A 'catch' occurs when a player has a non-spinning disc trapped between at least two body parts (12.1)
</t>
  </si>
  <si>
    <t>See Rule 12.1. This rule was updated in 2021</t>
  </si>
  <si>
    <t>The place where a disc becomes out-of-bounds and where a disc went out-of-bounds is always the same. (11.6, 11.8)</t>
  </si>
  <si>
    <t xml:space="preserve"> A pick is called during the act of throwing.  The pass is incomplete. The turnover stands, regardless of whether the pick call affected the play. (16.2)
</t>
  </si>
  <si>
    <t>16.2.4.1 applies for a pick if the disc is in the air when the call is made, but not if it is called during the act of throwing. This rule was updated in 2021</t>
  </si>
  <si>
    <t xml:space="preserve"> The thrower from Team A releases the disc.  The thrower then taps the disc to avoid an interception by Team B.  The disc hits the ground. The result of the play stands and Team B gets possession. (13.2.5)
</t>
  </si>
  <si>
    <t>A defender is guarding an offensive player when they are within three meters of that offensive player and are reacting to that offensive player. (Definitions)</t>
  </si>
  <si>
    <t>After signalling readiness, and prior to the pull, the offence must stand with one foot on the goal line. (7.3)</t>
  </si>
  <si>
    <t>See Rule 7.3</t>
  </si>
  <si>
    <t>After a turnover in the endzone, the thrower can call a time-out as they walk the disc up to the goal line. (20.3)</t>
  </si>
  <si>
    <t>See Rule 20.3.</t>
  </si>
  <si>
    <t>See Rule 18.2.6.3. This rule was updated in 2021</t>
  </si>
  <si>
    <t xml:space="preserve"> A 'Pick' is called while the thrower still has the disc.  The thrower does not hear the 'pick' call.  The thrower makes a pass to a receiver.  The receiver drops the pass. The disc goes back to the thrower, unless both teams agree that the Pick, or Pick call, did not affect the play. (16.3)
</t>
  </si>
  <si>
    <t xml:space="preserve"> A player makes a bid and causes an accepted receiving foul.  During the bid they hurt their knee and they call injury. They must choose either to be substituted, or to charge their own team with a Time-Out. (19.1.2)
</t>
  </si>
  <si>
    <t>See Rule 19.1.2.</t>
  </si>
  <si>
    <t>See Rule 7.5. This rule was updated in 2021</t>
  </si>
  <si>
    <t>Any player may briefly extend a stoppage of play to tie their shoes, but active play may not be stopped for this purpose. (10.3)</t>
  </si>
  <si>
    <t>See Rule 10.3</t>
  </si>
  <si>
    <t>A team-mate, coach, or designated official, should actively alert players to any condition that endangers players. (19.2.1.1)</t>
  </si>
  <si>
    <t xml:space="preserve"> There is a foul called by the thrower during the act of throwing.  The intended receiver drops the disc.  The marker accepts it was a foul. The disc must go back to the thrower, even if the foul did not affect the play. (16.3)
</t>
  </si>
  <si>
    <t>It promotes Spirit of the Game to compliment an opponent when they make a good play on the disc. (1.5.3)</t>
  </si>
  <si>
    <t xml:space="preserve"> An offensive player catches the disc in the end zone they are attacking.  They lose possession due to ground contact related to the catch.  The disc hits the ground. This is a goal. (14.1.2)
</t>
  </si>
  <si>
    <t>If a defender initiates contact with the torso of a receiver, the defender can contest a receiving foul based solely on the fact that the defender got to the disc first. (12.6, 17.2.1)</t>
  </si>
  <si>
    <t xml:space="preserve"> A defender intercepts a pass.  Directly after the interception they initiate non-minor contact with an opponent. It is possible that this is a defensive receiving foul, and if so, the interception will not count. (17.2)
</t>
  </si>
  <si>
    <t xml:space="preserve"> The marker calls 'Travel' as the thrower makes a pass.  The receiver drops the pass. If the receiver believes the 'Travel' call affected the play, then the disc goes back to the thrower. (18.2.8)
</t>
  </si>
  <si>
    <t>Categories</t>
  </si>
  <si>
    <t>Test Scores Averages</t>
  </si>
  <si>
    <t>If the defence is called for being offside for the first time in the game, that defence must undertake the pull again (7.5.2)</t>
  </si>
  <si>
    <t>There is no a warning for offside. See Rule 7.5.2. This rule was updated in 2021</t>
  </si>
  <si>
    <t xml:space="preserve"> An offensive throwing foul is called by the marker.  The thrower still has possession.  The thrower contests the foul. The thrower retains possession and any stall count must resume at maximum six. (9.5.4)
</t>
  </si>
  <si>
    <t>You can throw while running after catching a pass, as long as you release the disc before your third ground contact, and you do not speed up or change direction until you release the disc. (18.2.2.1)</t>
  </si>
  <si>
    <t xml:space="preserve"> There has been a time-out during play.  The defence change the player who is marking the thrower. The stall count stays the same. (20.3.6)
</t>
  </si>
  <si>
    <t>See Rule 9.5.4.2.</t>
  </si>
  <si>
    <t>See Rule 13.2.2</t>
  </si>
  <si>
    <t>See Rule 18.2.8. An incomplete pass after a travel call is always a turnover, regardless of whether or not the call affected the play.</t>
  </si>
  <si>
    <t>If the same marker has been straddling the thrower every time the thrower has the disc, the thrower can call a marking violation and stop play. (18.1.5.4)</t>
  </si>
  <si>
    <t xml:space="preserve">A 'Straddle' is defined as when a line between a defensive player's feet contains the thrower's pivot point. (18.1.1.2)
</t>
  </si>
  <si>
    <t xml:space="preserve"> The thrower calls a foul on the marker as they make a pass.  The intended receiver drops the pass but calls a foul on their defender.  Both calls are contested.   The disc is returned to the thrower. The stall count should restart at 'Stalling 1'. (9.5.4.1, 9.5.1)
</t>
  </si>
  <si>
    <t>See Rules 9.5.1 and 9.5.4.1. The stall count should restart at maximum 6. This rule was updated in 2021</t>
  </si>
  <si>
    <t>The perimeter lines are part of the playing field. (2.3)</t>
  </si>
  <si>
    <t xml:space="preserve"> A pick is called by Player A while the disc is in the air  The pass is incomplete Play can continue without a stoppage if Player A makes a 'Play on' call. (16.2.4.1)
</t>
  </si>
  <si>
    <t xml:space="preserve"> The thrower calls a marking violation for repeated fast counts.  At the same time the thrower attempts a pass.  The pass is incomplete. The turnover stands. (18.1.6)
</t>
  </si>
  <si>
    <t xml:space="preserve"> A pass from team A is intercepted in the central zone by a player from team B.  The player from team B then intentionally drops the disc. The player from team B must re-establish possession. (13.6)
</t>
  </si>
  <si>
    <t>A disc that has been caught by a player is not considered part of that player. (Definitions)</t>
  </si>
  <si>
    <t xml:space="preserve">Contact with an opponent's arms that occurs after the disc has been caught is a sufficient basis for a foul. (17.2.1.1.)
</t>
  </si>
  <si>
    <t>See Rules 9.5.1 and 9.5.4.1. The stall count should restart at ?Stalling 1?. This rule was updated in 2021</t>
  </si>
  <si>
    <t>Prior to the check the person checking the disc in, and the nearest opposition player, must verify that their own teammates are ready, and positioned as per 10.2 (10.4)</t>
  </si>
  <si>
    <t>A player may call a violation regarding the check if their teammate was moving immediately prior to the check (10.7)</t>
  </si>
  <si>
    <t>To call offside, the offence must let the disc hit the ground. See Rule 7.5.2 This rule was updated in 2021</t>
  </si>
  <si>
    <t>Any offensive player may call a double team (15.5.1)</t>
  </si>
  <si>
    <t>If the thrower calls 'Contact' and it is accepted, play does not stop and the marker must resume the stall count at one (1). (17.6.1.3)</t>
  </si>
  <si>
    <t xml:space="preserve"> A player on offence catches a pass near the sideline.  Momentum takes them out of bounds. The marker may start the stall count if they are within 3 metres of the pivot location. (9.3.2)
</t>
  </si>
  <si>
    <t xml:space="preserve"> A defender initiates a stoppage incorrectly while the disc is in the air.  The opposition drops the disc. The disc must be returned to the thrower, regardless of whether the call or event affected the outcome. (15.9, 16.3)
</t>
  </si>
  <si>
    <t>18.3.3.1</t>
  </si>
  <si>
    <t>10.2.2.1</t>
  </si>
  <si>
    <t>18.2.6.2</t>
  </si>
  <si>
    <t>18.1.1.4</t>
  </si>
  <si>
    <t>18.2.2.1</t>
  </si>
  <si>
    <t>17.6.1.3</t>
  </si>
  <si>
    <t>18.1.1.5</t>
  </si>
  <si>
    <t>18.1.1.2</t>
  </si>
  <si>
    <t>18.1.2.1</t>
  </si>
  <si>
    <t>17.6.1.2</t>
  </si>
  <si>
    <t>16.2.4.1</t>
  </si>
  <si>
    <t>17.9.2.1</t>
  </si>
  <si>
    <t>18.2.6.3</t>
  </si>
  <si>
    <t>9.5.4.2</t>
  </si>
  <si>
    <t>18.3.1</t>
  </si>
  <si>
    <t>13.7.1</t>
  </si>
  <si>
    <t>20.3.6</t>
  </si>
  <si>
    <t>17.3.1</t>
  </si>
  <si>
    <t>15.1.1</t>
  </si>
  <si>
    <t>17.8.1</t>
  </si>
  <si>
    <t>7.1.1</t>
  </si>
  <si>
    <t>13.2.6</t>
  </si>
  <si>
    <t>13.2.5</t>
  </si>
  <si>
    <t>18.1.6</t>
  </si>
  <si>
    <t>19.1.2</t>
  </si>
  <si>
    <t>7.5.2</t>
  </si>
  <si>
    <t>13.2.2</t>
  </si>
  <si>
    <t>18.2.8</t>
  </si>
  <si>
    <t>9.5.1</t>
  </si>
  <si>
    <t>Definition of Pivot</t>
  </si>
  <si>
    <t>Definition of Throwing Motion</t>
  </si>
  <si>
    <t>Rule</t>
  </si>
  <si>
    <t>Unique/Duplicate</t>
  </si>
  <si>
    <t>Updated?</t>
  </si>
  <si>
    <t>Counts</t>
  </si>
  <si>
    <t>Effficiency</t>
  </si>
  <si>
    <t>Rank Importance</t>
  </si>
  <si>
    <t>Difficulty Class</t>
  </si>
  <si>
    <t>bing_clean_1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</si>
</sst>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4"/>
      <color theme="1"/>
      <name val="Calibri"/>
      <family val="2"/>
      <scheme val="minor"/>
    </font>
    <font>
      <b/>
      <sz val="16"/>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0" fillId="0" borderId="0" xfId="0" applyAlignment="1">
      <alignment horizontal="left" vertical="top"/>
    </xf>
    <xf numFmtId="0" fontId="19" fillId="0" borderId="0" xfId="0" applyFont="1" applyAlignment="1">
      <alignment horizontal="left" vertical="top"/>
    </xf>
    <xf numFmtId="0" fontId="20" fillId="0" borderId="0" xfId="0" applyFont="1" applyAlignment="1">
      <alignment horizontal="left" vertical="top"/>
    </xf>
    <xf numFmtId="0" fontId="0" fillId="0" borderId="0" xfId="0" applyAlignment="1">
      <alignment horizontal="left" vertical="top" shrinkToFit="1"/>
    </xf>
    <xf numFmtId="0" fontId="0" fillId="0" borderId="0" xfId="0" applyFont="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ont>
        <color rgb="FFFF0000"/>
      </font>
      <fill>
        <patternFill patternType="none">
          <bgColor auto="1"/>
        </patternFill>
      </fill>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ables/table1.xml><?xml version="1.0" encoding="utf-8"?>
<table xmlns="http://schemas.openxmlformats.org/spreadsheetml/2006/main" id="1" name="Table1" displayName="Table1" ref="A1:G252" totalsRowCount="1" headerRowDxfId="11" dataDxfId="10">
  <autoFilter ref="A1:G251">
    <filterColumn colId="0">
      <filters>
        <filter val="0"/>
      </filters>
    </filterColumn>
    <filterColumn colId="3">
      <filters>
        <filter val="Yes"/>
      </filters>
    </filterColumn>
    <filterColumn colId="5">
      <filters>
        <filter val="Unique"/>
      </filters>
    </filterColumn>
  </autoFilter>
  <tableColumns count="7">
    <tableColumn id="1" name="Validate" totalsRowFunction="custom" dataDxfId="16" totalsRowDxfId="8">
      <totalsRowFormula>SUBTOTAL(109,A2:A251)</totalsRowFormula>
    </tableColumn>
    <tableColumn id="2" name="Question Text" totalsRowFunction="custom" dataDxfId="15" totalsRowDxfId="7">
      <totalsRowFormula>SUBTOTAL(109,B2:B251)</totalsRowFormula>
    </tableColumn>
    <tableColumn id="3" name="Feedback" totalsRowFunction="custom" dataDxfId="14" totalsRowDxfId="6">
      <totalsRowFormula>SUBTOTAL(109,C2:C251)</totalsRowFormula>
    </tableColumn>
    <tableColumn id="4" name="Updated?" totalsRowFunction="custom" dataDxfId="9" totalsRowDxfId="5">
      <calculatedColumnFormula>IF(ISNUMBER(SEARCH("updated", C2)), "Yes", "No")</calculatedColumnFormula>
      <totalsRowFormula>SUBTOTAL(109,D2:D251)</totalsRowFormula>
    </tableColumn>
    <tableColumn id="5" name="Rule" totalsRowFunction="custom" dataDxfId="13" totalsRowDxfId="4">
      <totalsRowFormula>SUBTOTAL(109,E2:E251)</totalsRowFormula>
    </tableColumn>
    <tableColumn id="6" name="Unique/Duplicate" totalsRowFunction="custom" dataDxfId="12" totalsRowDxfId="3">
      <totalsRowFormula>SUBTOTAL(109,F2:F251)</totalsRowFormula>
    </tableColumn>
    <tableColumn id="7" name="Categories" dataDxfId="2" totalsRow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254"/>
  <sheetViews>
    <sheetView tabSelected="1" workbookViewId="0">
      <selection activeCell="E252" sqref="E252"/>
    </sheetView>
  </sheetViews>
  <sheetFormatPr defaultRowHeight="14.25" x14ac:dyDescent="0.45"/>
  <cols>
    <col min="1" max="1" width="11.1328125" style="1" customWidth="1"/>
    <col min="2" max="2" width="11.9296875" style="1" hidden="1" customWidth="1"/>
    <col min="3" max="3" width="11.265625" style="1" customWidth="1"/>
    <col min="4" max="5" width="15.6640625" style="1" customWidth="1"/>
    <col min="6" max="6" width="20.86328125" style="1" customWidth="1"/>
    <col min="7" max="7" width="16.6640625" style="1" customWidth="1"/>
    <col min="8" max="8" width="26.1328125" style="1" bestFit="1" customWidth="1"/>
    <col min="9" max="9" width="6.46484375" style="1" bestFit="1" customWidth="1"/>
    <col min="10" max="10" width="12.46484375" style="1" bestFit="1" customWidth="1"/>
    <col min="11" max="11" width="11.3984375" style="1" bestFit="1" customWidth="1"/>
    <col min="12" max="12" width="20.9296875" style="1" bestFit="1" customWidth="1"/>
    <col min="13" max="13" width="14.6640625" style="1" bestFit="1" customWidth="1"/>
    <col min="14" max="14" width="25.265625" style="1" bestFit="1" customWidth="1"/>
    <col min="15" max="15" width="13.46484375" style="1" bestFit="1" customWidth="1"/>
    <col min="16" max="16" width="23.06640625" style="1" bestFit="1" customWidth="1"/>
    <col min="17" max="17" width="11.3984375" style="1" bestFit="1" customWidth="1"/>
    <col min="18" max="18" width="21.53125" style="1" bestFit="1" customWidth="1"/>
    <col min="19" max="19" width="18.6640625" style="1" bestFit="1" customWidth="1"/>
    <col min="20" max="16384" width="9.06640625" style="1"/>
  </cols>
  <sheetData>
    <row r="1" spans="1:20" ht="21" x14ac:dyDescent="0.45">
      <c r="A1" s="2" t="s">
        <v>20</v>
      </c>
      <c r="B1" s="1" t="s">
        <v>21</v>
      </c>
      <c r="C1" s="2" t="s">
        <v>22</v>
      </c>
      <c r="D1" s="2" t="s">
        <v>284</v>
      </c>
      <c r="E1" s="2" t="s">
        <v>282</v>
      </c>
      <c r="F1" s="2" t="s">
        <v>283</v>
      </c>
      <c r="G1" s="2" t="s">
        <v>223</v>
      </c>
      <c r="H1" s="3" t="s">
        <v>224</v>
      </c>
      <c r="I1" s="3" t="s">
        <v>0</v>
      </c>
      <c r="J1" s="3" t="s">
        <v>1</v>
      </c>
      <c r="K1" s="3" t="s">
        <v>2</v>
      </c>
      <c r="L1" s="3" t="s">
        <v>223</v>
      </c>
      <c r="M1" s="3" t="s">
        <v>3</v>
      </c>
      <c r="N1" s="3" t="s">
        <v>4</v>
      </c>
      <c r="O1" s="3" t="s">
        <v>286</v>
      </c>
      <c r="P1" s="3" t="s">
        <v>5</v>
      </c>
      <c r="Q1" s="3" t="s">
        <v>2</v>
      </c>
      <c r="R1" s="3" t="s">
        <v>287</v>
      </c>
      <c r="S1" s="3" t="s">
        <v>288</v>
      </c>
      <c r="T1" s="3"/>
    </row>
    <row r="2" spans="1:20" hidden="1" x14ac:dyDescent="0.45">
      <c r="A2" s="1">
        <v>0</v>
      </c>
      <c r="B2" s="1" t="s">
        <v>23</v>
      </c>
      <c r="C2" s="1" t="s">
        <v>24</v>
      </c>
      <c r="D2" s="1" t="str">
        <f>IF(ISNUMBER(SEARCH("updated", C2)), "Yes", "No")</f>
        <v>No</v>
      </c>
      <c r="E2" s="1">
        <v>3.1</v>
      </c>
      <c r="F2" s="1" t="str">
        <f>IF(COUNTIF($E$2:$E2, E2)=1, "Unique", "Duplicate")</f>
        <v>Unique</v>
      </c>
      <c r="G2" s="5"/>
      <c r="H2" s="1" t="s">
        <v>6</v>
      </c>
      <c r="I2" s="1">
        <f>SUM(A2:A51)</f>
        <v>32</v>
      </c>
      <c r="J2" s="1">
        <f t="shared" ref="J2:J5" si="0">I2/50*100</f>
        <v>64</v>
      </c>
      <c r="K2" s="1">
        <f>VAR(A2:A51)</f>
        <v>0.23510204081632652</v>
      </c>
      <c r="L2" s="1" t="s">
        <v>7</v>
      </c>
    </row>
    <row r="3" spans="1:20" x14ac:dyDescent="0.45">
      <c r="A3" s="1">
        <v>0</v>
      </c>
      <c r="B3" s="1" t="s">
        <v>25</v>
      </c>
      <c r="C3" s="1" t="s">
        <v>26</v>
      </c>
      <c r="D3" s="1" t="str">
        <f t="shared" ref="D3:D66" si="1">IF(ISNUMBER(SEARCH("updated", C3)), "Yes", "No")</f>
        <v>Yes</v>
      </c>
      <c r="E3" s="1">
        <v>12.1</v>
      </c>
      <c r="F3" s="1" t="str">
        <f>IF(COUNTIF($E$2:$E3, E3)=1, "Unique", "Duplicate")</f>
        <v>Unique</v>
      </c>
      <c r="G3" s="5"/>
      <c r="H3" s="1" t="s">
        <v>8</v>
      </c>
      <c r="I3" s="1">
        <f>SUM(A52:A102)</f>
        <v>33</v>
      </c>
      <c r="J3" s="1">
        <f t="shared" si="0"/>
        <v>66</v>
      </c>
      <c r="K3" s="1">
        <f>VAR(A52:A102)</f>
        <v>0.23294117647058826</v>
      </c>
      <c r="L3" s="1" t="s">
        <v>9</v>
      </c>
    </row>
    <row r="4" spans="1:20" hidden="1" x14ac:dyDescent="0.45">
      <c r="A4" s="1">
        <v>1</v>
      </c>
      <c r="B4" s="1" t="s">
        <v>27</v>
      </c>
      <c r="C4" s="1" t="s">
        <v>28</v>
      </c>
      <c r="D4" s="1" t="str">
        <f t="shared" si="1"/>
        <v>No</v>
      </c>
      <c r="G4" s="5"/>
      <c r="H4" s="1" t="s">
        <v>10</v>
      </c>
      <c r="I4" s="1">
        <f>SUM(A103:A154)</f>
        <v>44</v>
      </c>
      <c r="J4" s="1">
        <f t="shared" si="0"/>
        <v>88</v>
      </c>
      <c r="K4" s="1">
        <f>VAR(A103:A154)</f>
        <v>0.1327300150829562</v>
      </c>
      <c r="L4" s="1" t="s">
        <v>11</v>
      </c>
    </row>
    <row r="5" spans="1:20" hidden="1" x14ac:dyDescent="0.45">
      <c r="A5" s="1">
        <v>1</v>
      </c>
      <c r="B5" s="1" t="s">
        <v>29</v>
      </c>
      <c r="C5" s="1" t="s">
        <v>28</v>
      </c>
      <c r="D5" s="1" t="str">
        <f t="shared" si="1"/>
        <v>No</v>
      </c>
      <c r="G5" s="5"/>
      <c r="H5" s="1" t="s">
        <v>12</v>
      </c>
      <c r="I5" s="1">
        <f>SUM(A154:A204)</f>
        <v>35</v>
      </c>
      <c r="J5" s="1">
        <f t="shared" si="0"/>
        <v>70</v>
      </c>
      <c r="K5" s="1">
        <f>VAR(A154:A204)</f>
        <v>0.2196078431372549</v>
      </c>
      <c r="L5" s="1" t="s">
        <v>13</v>
      </c>
    </row>
    <row r="6" spans="1:20" ht="13.15" hidden="1" customHeight="1" x14ac:dyDescent="0.45">
      <c r="A6" s="1">
        <v>1</v>
      </c>
      <c r="B6" s="1" t="s">
        <v>30</v>
      </c>
      <c r="C6" s="1" t="s">
        <v>28</v>
      </c>
      <c r="D6" s="1" t="str">
        <f t="shared" si="1"/>
        <v>No</v>
      </c>
      <c r="G6" s="5"/>
      <c r="H6" s="1" t="s">
        <v>289</v>
      </c>
      <c r="I6" s="1">
        <f>SUM(A201:A251)</f>
        <v>39</v>
      </c>
      <c r="J6" s="1">
        <f>I6/50*100</f>
        <v>78</v>
      </c>
      <c r="K6" s="1">
        <f>VAR(A201:A251)</f>
        <v>0.18352941176470586</v>
      </c>
      <c r="L6" s="1" t="s">
        <v>14</v>
      </c>
    </row>
    <row r="7" spans="1:20" hidden="1" x14ac:dyDescent="0.45">
      <c r="A7" s="1">
        <v>1</v>
      </c>
      <c r="B7" s="1" t="s">
        <v>31</v>
      </c>
      <c r="C7" s="1" t="s">
        <v>28</v>
      </c>
      <c r="D7" s="1" t="str">
        <f t="shared" si="1"/>
        <v>No</v>
      </c>
      <c r="G7" s="5"/>
      <c r="I7" s="1" cm="1">
        <f t="array" ref="I7">SUM(I2:I6/5)</f>
        <v>36.6</v>
      </c>
      <c r="J7" s="1" cm="1">
        <f t="array" ref="J7">SUM(J2:J6/5)</f>
        <v>73.2</v>
      </c>
      <c r="K7" s="1" cm="1">
        <f t="array" ref="K7">SUM(K2:K6/5)</f>
        <v>0.20078209745436634</v>
      </c>
      <c r="L7" s="1" t="s">
        <v>13</v>
      </c>
    </row>
    <row r="8" spans="1:20" hidden="1" x14ac:dyDescent="0.45">
      <c r="A8" s="1">
        <v>0</v>
      </c>
      <c r="B8" s="1" t="s">
        <v>32</v>
      </c>
      <c r="C8" s="1" t="s">
        <v>33</v>
      </c>
      <c r="D8" s="1" t="str">
        <f t="shared" si="1"/>
        <v>No</v>
      </c>
      <c r="E8" s="1">
        <v>13.5</v>
      </c>
      <c r="F8" s="1" t="str">
        <f>IF(COUNTIF($E$2:$E8, E8)=1, "Unique", "Duplicate")</f>
        <v>Unique</v>
      </c>
      <c r="G8" s="5"/>
      <c r="L8" s="1" t="s">
        <v>15</v>
      </c>
    </row>
    <row r="9" spans="1:20" hidden="1" x14ac:dyDescent="0.45">
      <c r="A9" s="1">
        <v>0</v>
      </c>
      <c r="B9" s="1" t="s">
        <v>34</v>
      </c>
      <c r="C9" s="1" t="s">
        <v>35</v>
      </c>
      <c r="D9" s="1" t="str">
        <f t="shared" si="1"/>
        <v>No</v>
      </c>
      <c r="E9" s="1" t="s">
        <v>265</v>
      </c>
      <c r="F9" s="1" t="str">
        <f>IF(COUNTIF($E$2:$E9, E9)=1, "Unique", "Duplicate")</f>
        <v>Unique</v>
      </c>
      <c r="G9" s="5"/>
      <c r="L9" s="1" t="s">
        <v>16</v>
      </c>
    </row>
    <row r="10" spans="1:20" s="4" customFormat="1" hidden="1" x14ac:dyDescent="0.45">
      <c r="A10" s="4">
        <v>1</v>
      </c>
      <c r="B10" s="4" t="s">
        <v>36</v>
      </c>
      <c r="C10" s="4" t="s">
        <v>28</v>
      </c>
      <c r="D10" s="1" t="str">
        <f t="shared" si="1"/>
        <v>No</v>
      </c>
      <c r="G10" s="5"/>
      <c r="L10" s="4" t="s">
        <v>17</v>
      </c>
    </row>
    <row r="11" spans="1:20" hidden="1" x14ac:dyDescent="0.45">
      <c r="A11" s="1">
        <v>1</v>
      </c>
      <c r="B11" s="1" t="s">
        <v>37</v>
      </c>
      <c r="C11" s="1" t="s">
        <v>28</v>
      </c>
      <c r="D11" s="1" t="str">
        <f t="shared" si="1"/>
        <v>No</v>
      </c>
      <c r="G11" s="5"/>
      <c r="L11" s="1" t="s">
        <v>18</v>
      </c>
    </row>
    <row r="12" spans="1:20" hidden="1" x14ac:dyDescent="0.45">
      <c r="A12" s="1">
        <v>1</v>
      </c>
      <c r="B12" s="1" t="s">
        <v>38</v>
      </c>
      <c r="C12" s="1" t="s">
        <v>28</v>
      </c>
      <c r="D12" s="1" t="str">
        <f t="shared" si="1"/>
        <v>No</v>
      </c>
      <c r="G12" s="5"/>
      <c r="L12" s="1" t="s">
        <v>19</v>
      </c>
    </row>
    <row r="13" spans="1:20" hidden="1" x14ac:dyDescent="0.45">
      <c r="A13" s="1">
        <v>0</v>
      </c>
      <c r="B13" s="1" t="s">
        <v>39</v>
      </c>
      <c r="C13" s="1" t="s">
        <v>40</v>
      </c>
      <c r="D13" s="1" t="str">
        <f t="shared" si="1"/>
        <v>No</v>
      </c>
      <c r="E13" s="1" t="s">
        <v>266</v>
      </c>
      <c r="F13" s="1" t="str">
        <f>IF(COUNTIF($E$2:$E13, E13)=1, "Unique", "Duplicate")</f>
        <v>Unique</v>
      </c>
      <c r="G13" s="5"/>
    </row>
    <row r="14" spans="1:20" ht="21" hidden="1" x14ac:dyDescent="0.45">
      <c r="A14" s="1">
        <v>1</v>
      </c>
      <c r="B14" s="1" t="s">
        <v>41</v>
      </c>
      <c r="C14" s="1" t="s">
        <v>28</v>
      </c>
      <c r="D14" s="1" t="str">
        <f t="shared" si="1"/>
        <v>No</v>
      </c>
      <c r="G14" s="5"/>
      <c r="H14" s="3" t="s">
        <v>285</v>
      </c>
    </row>
    <row r="15" spans="1:20" x14ac:dyDescent="0.45">
      <c r="A15" s="1">
        <v>0</v>
      </c>
      <c r="B15" s="1" t="s">
        <v>42</v>
      </c>
      <c r="C15" s="1" t="s">
        <v>43</v>
      </c>
      <c r="D15" s="1" t="str">
        <f t="shared" si="1"/>
        <v>Yes</v>
      </c>
      <c r="E15" s="1" t="s">
        <v>280</v>
      </c>
      <c r="F15" s="1" t="str">
        <f>IF(COUNTIF($E$2:$E15, E15)=1, "Unique", "Duplicate")</f>
        <v>Unique</v>
      </c>
      <c r="G15" s="5"/>
    </row>
    <row r="16" spans="1:20" hidden="1" x14ac:dyDescent="0.45">
      <c r="A16" s="1">
        <v>1</v>
      </c>
      <c r="B16" s="1" t="s">
        <v>44</v>
      </c>
      <c r="C16" s="1" t="s">
        <v>28</v>
      </c>
      <c r="D16" s="1" t="str">
        <f t="shared" si="1"/>
        <v>No</v>
      </c>
      <c r="G16" s="5"/>
    </row>
    <row r="17" spans="1:7" hidden="1" x14ac:dyDescent="0.45">
      <c r="A17" s="1">
        <v>1</v>
      </c>
      <c r="B17" s="1" t="s">
        <v>45</v>
      </c>
      <c r="C17" s="1" t="s">
        <v>28</v>
      </c>
      <c r="D17" s="1" t="str">
        <f t="shared" si="1"/>
        <v>No</v>
      </c>
      <c r="G17" s="5"/>
    </row>
    <row r="18" spans="1:7" hidden="1" x14ac:dyDescent="0.45">
      <c r="A18" s="1">
        <v>1</v>
      </c>
      <c r="B18" s="1" t="s">
        <v>46</v>
      </c>
      <c r="C18" s="1" t="s">
        <v>28</v>
      </c>
      <c r="D18" s="1" t="str">
        <f t="shared" si="1"/>
        <v>No</v>
      </c>
      <c r="G18" s="5"/>
    </row>
    <row r="19" spans="1:7" hidden="1" x14ac:dyDescent="0.45">
      <c r="A19" s="1">
        <v>1</v>
      </c>
      <c r="B19" s="1" t="s">
        <v>47</v>
      </c>
      <c r="C19" s="1" t="s">
        <v>28</v>
      </c>
      <c r="D19" s="1" t="str">
        <f t="shared" si="1"/>
        <v>No</v>
      </c>
      <c r="G19" s="5"/>
    </row>
    <row r="20" spans="1:7" hidden="1" x14ac:dyDescent="0.45">
      <c r="A20" s="1">
        <v>1</v>
      </c>
      <c r="B20" s="1" t="s">
        <v>48</v>
      </c>
      <c r="C20" s="1" t="s">
        <v>28</v>
      </c>
      <c r="D20" s="1" t="str">
        <f t="shared" si="1"/>
        <v>No</v>
      </c>
      <c r="G20" s="5"/>
    </row>
    <row r="21" spans="1:7" ht="16.899999999999999" hidden="1" customHeight="1" x14ac:dyDescent="0.45">
      <c r="A21" s="1">
        <v>0</v>
      </c>
      <c r="B21" s="1" t="s">
        <v>52</v>
      </c>
      <c r="C21" s="1" t="s">
        <v>53</v>
      </c>
      <c r="D21" s="1" t="str">
        <f t="shared" si="1"/>
        <v>No</v>
      </c>
      <c r="E21" s="1">
        <v>13.6</v>
      </c>
      <c r="F21" s="1" t="str">
        <f>IF(COUNTIF($E$2:$E21, E21)=1, "Unique", "Duplicate")</f>
        <v>Unique</v>
      </c>
      <c r="G21" s="5"/>
    </row>
    <row r="22" spans="1:7" hidden="1" x14ac:dyDescent="0.45">
      <c r="A22" s="1">
        <v>1</v>
      </c>
      <c r="B22" s="1" t="s">
        <v>51</v>
      </c>
      <c r="C22" s="1" t="s">
        <v>28</v>
      </c>
      <c r="D22" s="1" t="str">
        <f t="shared" si="1"/>
        <v>No</v>
      </c>
      <c r="G22" s="5"/>
    </row>
    <row r="23" spans="1:7" hidden="1" x14ac:dyDescent="0.45">
      <c r="A23" s="1">
        <v>0</v>
      </c>
      <c r="B23" s="1" t="s">
        <v>57</v>
      </c>
      <c r="C23" s="1" t="s">
        <v>58</v>
      </c>
      <c r="D23" s="1" t="str">
        <f t="shared" si="1"/>
        <v>No</v>
      </c>
      <c r="E23" s="1">
        <v>7.1</v>
      </c>
      <c r="F23" s="1" t="str">
        <f>IF(COUNTIF($E$2:$E23, E23)=1, "Unique", "Duplicate")</f>
        <v>Unique</v>
      </c>
      <c r="G23" s="5"/>
    </row>
    <row r="24" spans="1:7" hidden="1" x14ac:dyDescent="0.45">
      <c r="A24" s="1">
        <v>1</v>
      </c>
      <c r="B24" s="1" t="s">
        <v>54</v>
      </c>
      <c r="C24" s="1" t="s">
        <v>28</v>
      </c>
      <c r="D24" s="1" t="str">
        <f t="shared" si="1"/>
        <v>No</v>
      </c>
      <c r="G24" s="5"/>
    </row>
    <row r="25" spans="1:7" hidden="1" x14ac:dyDescent="0.45">
      <c r="A25" s="1">
        <v>1</v>
      </c>
      <c r="B25" s="1" t="s">
        <v>55</v>
      </c>
      <c r="C25" s="1" t="s">
        <v>28</v>
      </c>
      <c r="D25" s="1" t="str">
        <f t="shared" si="1"/>
        <v>No</v>
      </c>
      <c r="G25" s="5"/>
    </row>
    <row r="26" spans="1:7" hidden="1" x14ac:dyDescent="0.45">
      <c r="A26" s="1">
        <v>1</v>
      </c>
      <c r="B26" s="1" t="s">
        <v>56</v>
      </c>
      <c r="C26" s="1" t="s">
        <v>28</v>
      </c>
      <c r="D26" s="1" t="str">
        <f t="shared" si="1"/>
        <v>No</v>
      </c>
      <c r="G26" s="5"/>
    </row>
    <row r="27" spans="1:7" hidden="1" x14ac:dyDescent="0.45">
      <c r="A27" s="1">
        <v>0</v>
      </c>
      <c r="B27" s="1" t="s">
        <v>62</v>
      </c>
      <c r="C27" s="1" t="s">
        <v>63</v>
      </c>
      <c r="D27" s="1" t="str">
        <f t="shared" si="1"/>
        <v>No</v>
      </c>
      <c r="E27" s="1" t="s">
        <v>252</v>
      </c>
      <c r="F27" s="1" t="str">
        <f>IF(COUNTIF($E$2:$E27, E27)=1, "Unique", "Duplicate")</f>
        <v>Unique</v>
      </c>
      <c r="G27" s="5"/>
    </row>
    <row r="28" spans="1:7" hidden="1" x14ac:dyDescent="0.45">
      <c r="A28" s="1">
        <v>1</v>
      </c>
      <c r="B28" s="1" t="s">
        <v>59</v>
      </c>
      <c r="C28" s="1" t="s">
        <v>28</v>
      </c>
      <c r="D28" s="1" t="str">
        <f t="shared" si="1"/>
        <v>No</v>
      </c>
      <c r="G28" s="5"/>
    </row>
    <row r="29" spans="1:7" hidden="1" x14ac:dyDescent="0.45">
      <c r="A29" s="1">
        <v>1</v>
      </c>
      <c r="B29" s="1" t="s">
        <v>60</v>
      </c>
      <c r="C29" s="1" t="s">
        <v>28</v>
      </c>
      <c r="D29" s="1" t="str">
        <f t="shared" si="1"/>
        <v>No</v>
      </c>
      <c r="G29" s="5"/>
    </row>
    <row r="30" spans="1:7" hidden="1" x14ac:dyDescent="0.45">
      <c r="A30" s="1">
        <v>1</v>
      </c>
      <c r="B30" s="1" t="s">
        <v>61</v>
      </c>
      <c r="C30" s="1" t="s">
        <v>28</v>
      </c>
      <c r="D30" s="1" t="str">
        <f t="shared" si="1"/>
        <v>No</v>
      </c>
      <c r="G30" s="5"/>
    </row>
    <row r="31" spans="1:7" hidden="1" x14ac:dyDescent="0.45">
      <c r="A31" s="1">
        <v>0</v>
      </c>
      <c r="B31" s="1" t="s">
        <v>64</v>
      </c>
      <c r="C31" s="1" t="s">
        <v>65</v>
      </c>
      <c r="D31" s="1" t="str">
        <f t="shared" si="1"/>
        <v>No</v>
      </c>
      <c r="E31" s="1" t="s">
        <v>253</v>
      </c>
      <c r="F31" s="1" t="str">
        <f>IF(COUNTIF($E$2:$E31, E31)=1, "Unique", "Duplicate")</f>
        <v>Unique</v>
      </c>
      <c r="G31" s="5"/>
    </row>
    <row r="32" spans="1:7" hidden="1" x14ac:dyDescent="0.45">
      <c r="A32" s="1">
        <v>0</v>
      </c>
      <c r="B32" s="1" t="s">
        <v>72</v>
      </c>
      <c r="C32" s="1" t="s">
        <v>73</v>
      </c>
      <c r="D32" s="1" t="str">
        <f t="shared" si="1"/>
        <v>No</v>
      </c>
      <c r="E32" s="1" t="s">
        <v>267</v>
      </c>
      <c r="F32" s="1" t="str">
        <f>IF(COUNTIF($E$2:$E32, E32)=1, "Unique", "Duplicate")</f>
        <v>Unique</v>
      </c>
      <c r="G32" s="5"/>
    </row>
    <row r="33" spans="1:7" hidden="1" x14ac:dyDescent="0.45">
      <c r="A33" s="1">
        <v>1</v>
      </c>
      <c r="B33" s="1" t="s">
        <v>66</v>
      </c>
      <c r="C33" s="1" t="s">
        <v>28</v>
      </c>
      <c r="D33" s="1" t="str">
        <f t="shared" si="1"/>
        <v>No</v>
      </c>
      <c r="G33" s="5"/>
    </row>
    <row r="34" spans="1:7" hidden="1" x14ac:dyDescent="0.45">
      <c r="A34" s="1">
        <v>1</v>
      </c>
      <c r="B34" s="1" t="s">
        <v>67</v>
      </c>
      <c r="C34" s="1" t="s">
        <v>28</v>
      </c>
      <c r="D34" s="1" t="str">
        <f t="shared" si="1"/>
        <v>No</v>
      </c>
      <c r="G34" s="5"/>
    </row>
    <row r="35" spans="1:7" hidden="1" x14ac:dyDescent="0.45">
      <c r="A35" s="1">
        <v>1</v>
      </c>
      <c r="B35" s="1" t="s">
        <v>68</v>
      </c>
      <c r="C35" s="1" t="s">
        <v>28</v>
      </c>
      <c r="D35" s="1" t="str">
        <f t="shared" si="1"/>
        <v>No</v>
      </c>
      <c r="G35" s="5"/>
    </row>
    <row r="36" spans="1:7" hidden="1" x14ac:dyDescent="0.45">
      <c r="A36" s="1">
        <v>1</v>
      </c>
      <c r="B36" s="1" t="s">
        <v>69</v>
      </c>
      <c r="C36" s="1" t="s">
        <v>28</v>
      </c>
      <c r="D36" s="1" t="str">
        <f t="shared" si="1"/>
        <v>No</v>
      </c>
      <c r="G36" s="5"/>
    </row>
    <row r="37" spans="1:7" hidden="1" x14ac:dyDescent="0.45">
      <c r="A37" s="1">
        <v>1</v>
      </c>
      <c r="B37" s="1" t="s">
        <v>70</v>
      </c>
      <c r="C37" s="1" t="s">
        <v>28</v>
      </c>
      <c r="D37" s="1" t="str">
        <f t="shared" si="1"/>
        <v>No</v>
      </c>
      <c r="G37" s="5"/>
    </row>
    <row r="38" spans="1:7" hidden="1" x14ac:dyDescent="0.45">
      <c r="A38" s="1">
        <v>1</v>
      </c>
      <c r="B38" s="1" t="s">
        <v>71</v>
      </c>
      <c r="C38" s="1" t="s">
        <v>28</v>
      </c>
      <c r="D38" s="1" t="str">
        <f t="shared" si="1"/>
        <v>No</v>
      </c>
      <c r="G38" s="5"/>
    </row>
    <row r="39" spans="1:7" hidden="1" x14ac:dyDescent="0.45">
      <c r="A39" s="1">
        <v>0</v>
      </c>
      <c r="B39" s="1" t="s">
        <v>74</v>
      </c>
      <c r="C39" s="1" t="s">
        <v>75</v>
      </c>
      <c r="D39" s="1" t="str">
        <f t="shared" si="1"/>
        <v>No</v>
      </c>
      <c r="E39" s="1" t="s">
        <v>254</v>
      </c>
      <c r="F39" s="1" t="str">
        <f>IF(COUNTIF($E$2:$E39, E39)=1, "Unique", "Duplicate")</f>
        <v>Unique</v>
      </c>
      <c r="G39" s="5"/>
    </row>
    <row r="40" spans="1:7" x14ac:dyDescent="0.45">
      <c r="A40" s="1">
        <v>0</v>
      </c>
      <c r="B40" s="1" t="s">
        <v>80</v>
      </c>
      <c r="C40" s="1" t="s">
        <v>81</v>
      </c>
      <c r="D40" s="1" t="str">
        <f t="shared" si="1"/>
        <v>Yes</v>
      </c>
      <c r="E40" s="1" t="s">
        <v>255</v>
      </c>
      <c r="F40" s="1" t="str">
        <f>IF(COUNTIF($E$2:$E40, E40)=1, "Unique", "Duplicate")</f>
        <v>Unique</v>
      </c>
      <c r="G40" s="5"/>
    </row>
    <row r="41" spans="1:7" hidden="1" x14ac:dyDescent="0.45">
      <c r="A41" s="1">
        <v>1</v>
      </c>
      <c r="B41" s="1" t="s">
        <v>76</v>
      </c>
      <c r="C41" s="1" t="s">
        <v>28</v>
      </c>
      <c r="D41" s="1" t="str">
        <f t="shared" si="1"/>
        <v>No</v>
      </c>
      <c r="G41" s="5"/>
    </row>
    <row r="42" spans="1:7" hidden="1" x14ac:dyDescent="0.45">
      <c r="A42" s="1">
        <v>1</v>
      </c>
      <c r="B42" s="1" t="s">
        <v>77</v>
      </c>
      <c r="C42" s="1" t="s">
        <v>28</v>
      </c>
      <c r="D42" s="1" t="str">
        <f t="shared" si="1"/>
        <v>No</v>
      </c>
      <c r="G42" s="5"/>
    </row>
    <row r="43" spans="1:7" x14ac:dyDescent="0.45">
      <c r="A43" s="1">
        <v>0</v>
      </c>
      <c r="B43" s="1" t="s">
        <v>84</v>
      </c>
      <c r="C43" s="1" t="s">
        <v>85</v>
      </c>
      <c r="D43" s="1" t="str">
        <f t="shared" si="1"/>
        <v>Yes</v>
      </c>
      <c r="E43" s="1" t="s">
        <v>268</v>
      </c>
      <c r="F43" s="1" t="str">
        <f>IF(COUNTIF($E$2:$E43, E43)=1, "Unique", "Duplicate")</f>
        <v>Unique</v>
      </c>
      <c r="G43" s="5"/>
    </row>
    <row r="44" spans="1:7" hidden="1" x14ac:dyDescent="0.45">
      <c r="A44" s="1">
        <v>0</v>
      </c>
      <c r="B44" s="1" t="s">
        <v>87</v>
      </c>
      <c r="C44" s="1" t="s">
        <v>88</v>
      </c>
      <c r="D44" s="1" t="str">
        <f t="shared" si="1"/>
        <v>No</v>
      </c>
      <c r="E44" s="1">
        <v>8.5</v>
      </c>
      <c r="F44" s="1" t="str">
        <f>IF(COUNTIF($E$2:$E44, E44)=1, "Unique", "Duplicate")</f>
        <v>Unique</v>
      </c>
      <c r="G44" s="5"/>
    </row>
    <row r="45" spans="1:7" hidden="1" x14ac:dyDescent="0.45">
      <c r="A45" s="1">
        <v>1</v>
      </c>
      <c r="B45" s="1" t="s">
        <v>82</v>
      </c>
      <c r="C45" s="1" t="s">
        <v>28</v>
      </c>
      <c r="D45" s="1" t="str">
        <f t="shared" si="1"/>
        <v>No</v>
      </c>
      <c r="G45" s="5"/>
    </row>
    <row r="46" spans="1:7" hidden="1" x14ac:dyDescent="0.45">
      <c r="A46" s="1">
        <v>1</v>
      </c>
      <c r="B46" s="1" t="s">
        <v>83</v>
      </c>
      <c r="C46" s="1" t="s">
        <v>28</v>
      </c>
      <c r="D46" s="1" t="str">
        <f t="shared" si="1"/>
        <v>No</v>
      </c>
      <c r="G46" s="5"/>
    </row>
    <row r="47" spans="1:7" hidden="1" x14ac:dyDescent="0.45">
      <c r="A47" s="1">
        <v>0</v>
      </c>
      <c r="B47" s="1" t="s">
        <v>89</v>
      </c>
      <c r="C47" s="1" t="s">
        <v>90</v>
      </c>
      <c r="D47" s="1" t="str">
        <f t="shared" si="1"/>
        <v>No</v>
      </c>
      <c r="E47" s="1" t="s">
        <v>256</v>
      </c>
      <c r="F47" s="1" t="str">
        <f>IF(COUNTIF($E$2:$E47, E47)=1, "Unique", "Duplicate")</f>
        <v>Unique</v>
      </c>
      <c r="G47" s="5"/>
    </row>
    <row r="48" spans="1:7" hidden="1" x14ac:dyDescent="0.45">
      <c r="A48" s="1">
        <v>1</v>
      </c>
      <c r="B48" s="1" t="s">
        <v>86</v>
      </c>
      <c r="C48" s="1" t="s">
        <v>28</v>
      </c>
      <c r="D48" s="1" t="str">
        <f t="shared" si="1"/>
        <v>No</v>
      </c>
      <c r="G48" s="5"/>
    </row>
    <row r="49" spans="1:7" hidden="1" x14ac:dyDescent="0.45">
      <c r="A49" s="1">
        <v>0</v>
      </c>
      <c r="B49" s="1" t="s">
        <v>98</v>
      </c>
      <c r="C49" s="1" t="s">
        <v>99</v>
      </c>
      <c r="D49" s="1" t="str">
        <f t="shared" si="1"/>
        <v>No</v>
      </c>
      <c r="E49" s="1">
        <v>7.12</v>
      </c>
      <c r="F49" s="1" t="str">
        <f>IF(COUNTIF($E$2:$E49, E49)=1, "Unique", "Duplicate")</f>
        <v>Unique</v>
      </c>
      <c r="G49" s="5"/>
    </row>
    <row r="50" spans="1:7" hidden="1" x14ac:dyDescent="0.45">
      <c r="A50" s="1">
        <v>0</v>
      </c>
      <c r="B50" s="1" t="s">
        <v>103</v>
      </c>
      <c r="C50" s="1" t="s">
        <v>104</v>
      </c>
      <c r="D50" s="1" t="str">
        <f t="shared" si="1"/>
        <v>No</v>
      </c>
      <c r="E50" s="1" t="s">
        <v>269</v>
      </c>
      <c r="F50" s="1" t="str">
        <f>IF(COUNTIF($E$2:$E50, E50)=1, "Unique", "Duplicate")</f>
        <v>Unique</v>
      </c>
      <c r="G50" s="5"/>
    </row>
    <row r="51" spans="1:7" hidden="1" x14ac:dyDescent="0.45">
      <c r="A51" s="1">
        <v>1</v>
      </c>
      <c r="B51" s="1" t="s">
        <v>91</v>
      </c>
      <c r="C51" s="1" t="s">
        <v>28</v>
      </c>
      <c r="D51" s="1" t="str">
        <f t="shared" si="1"/>
        <v>No</v>
      </c>
      <c r="G51" s="5"/>
    </row>
    <row r="52" spans="1:7" hidden="1" x14ac:dyDescent="0.45">
      <c r="A52" s="1">
        <v>1</v>
      </c>
      <c r="B52" s="1" t="s">
        <v>92</v>
      </c>
      <c r="C52" s="1" t="s">
        <v>28</v>
      </c>
      <c r="D52" s="1" t="str">
        <f t="shared" si="1"/>
        <v>No</v>
      </c>
      <c r="G52" s="5"/>
    </row>
    <row r="53" spans="1:7" hidden="1" x14ac:dyDescent="0.45">
      <c r="A53" s="1">
        <v>0</v>
      </c>
      <c r="B53" s="1" t="s">
        <v>110</v>
      </c>
      <c r="C53" s="1" t="s">
        <v>111</v>
      </c>
      <c r="D53" s="1" t="str">
        <f t="shared" si="1"/>
        <v>No</v>
      </c>
      <c r="E53" s="1" t="s">
        <v>257</v>
      </c>
      <c r="F53" s="1" t="str">
        <f>IF(COUNTIF($E$2:$E53, E53)=1, "Unique", "Duplicate")</f>
        <v>Unique</v>
      </c>
      <c r="G53" s="5"/>
    </row>
    <row r="54" spans="1:7" hidden="1" x14ac:dyDescent="0.45">
      <c r="A54" s="1">
        <v>1</v>
      </c>
      <c r="B54" s="1" t="s">
        <v>93</v>
      </c>
      <c r="C54" s="1" t="s">
        <v>28</v>
      </c>
      <c r="D54" s="1" t="str">
        <f t="shared" si="1"/>
        <v>No</v>
      </c>
      <c r="G54" s="5"/>
    </row>
    <row r="55" spans="1:7" hidden="1" x14ac:dyDescent="0.45">
      <c r="A55" s="1">
        <v>1</v>
      </c>
      <c r="B55" s="1" t="s">
        <v>94</v>
      </c>
      <c r="C55" s="1" t="s">
        <v>28</v>
      </c>
      <c r="D55" s="1" t="str">
        <f t="shared" si="1"/>
        <v>No</v>
      </c>
      <c r="G55" s="5"/>
    </row>
    <row r="56" spans="1:7" hidden="1" x14ac:dyDescent="0.45">
      <c r="A56" s="1">
        <v>1</v>
      </c>
      <c r="B56" s="1" t="s">
        <v>95</v>
      </c>
      <c r="C56" s="1" t="s">
        <v>28</v>
      </c>
      <c r="D56" s="1" t="str">
        <f t="shared" si="1"/>
        <v>No</v>
      </c>
      <c r="G56" s="5"/>
    </row>
    <row r="57" spans="1:7" hidden="1" x14ac:dyDescent="0.45">
      <c r="A57" s="1">
        <v>1</v>
      </c>
      <c r="B57" s="1" t="s">
        <v>96</v>
      </c>
      <c r="C57" s="1" t="s">
        <v>28</v>
      </c>
      <c r="D57" s="1" t="str">
        <f t="shared" si="1"/>
        <v>No</v>
      </c>
      <c r="G57" s="5"/>
    </row>
    <row r="58" spans="1:7" hidden="1" x14ac:dyDescent="0.45">
      <c r="A58" s="1">
        <v>1</v>
      </c>
      <c r="B58" s="1" t="s">
        <v>29</v>
      </c>
      <c r="C58" s="1" t="s">
        <v>28</v>
      </c>
      <c r="D58" s="1" t="str">
        <f t="shared" si="1"/>
        <v>No</v>
      </c>
      <c r="G58" s="5"/>
    </row>
    <row r="59" spans="1:7" hidden="1" x14ac:dyDescent="0.45">
      <c r="A59" s="1">
        <v>1</v>
      </c>
      <c r="B59" s="1" t="s">
        <v>41</v>
      </c>
      <c r="C59" s="1" t="s">
        <v>28</v>
      </c>
      <c r="D59" s="1" t="str">
        <f t="shared" si="1"/>
        <v>No</v>
      </c>
      <c r="G59" s="5"/>
    </row>
    <row r="60" spans="1:7" hidden="1" x14ac:dyDescent="0.45">
      <c r="A60" s="1">
        <v>0</v>
      </c>
      <c r="B60" s="1" t="s">
        <v>121</v>
      </c>
      <c r="C60" s="1" t="s">
        <v>122</v>
      </c>
      <c r="D60" s="1" t="str">
        <f t="shared" si="1"/>
        <v>No</v>
      </c>
      <c r="E60" s="1" t="s">
        <v>270</v>
      </c>
      <c r="F60" s="1" t="str">
        <f>IF(COUNTIF($E$2:$E60, E60)=1, "Unique", "Duplicate")</f>
        <v>Unique</v>
      </c>
      <c r="G60" s="5"/>
    </row>
    <row r="61" spans="1:7" hidden="1" x14ac:dyDescent="0.45">
      <c r="A61" s="1">
        <v>0</v>
      </c>
      <c r="B61" s="1" t="s">
        <v>31</v>
      </c>
      <c r="C61" s="1" t="s">
        <v>125</v>
      </c>
      <c r="D61" s="1" t="str">
        <f t="shared" si="1"/>
        <v>No</v>
      </c>
      <c r="E61" s="1">
        <v>12.3</v>
      </c>
      <c r="F61" s="1" t="str">
        <f>IF(COUNTIF($E$2:$E61, E61)=1, "Unique", "Duplicate")</f>
        <v>Unique</v>
      </c>
      <c r="G61" s="5"/>
    </row>
    <row r="62" spans="1:7" hidden="1" x14ac:dyDescent="0.45">
      <c r="A62" s="1">
        <v>1</v>
      </c>
      <c r="B62" s="1" t="s">
        <v>100</v>
      </c>
      <c r="C62" s="1" t="s">
        <v>28</v>
      </c>
      <c r="D62" s="1" t="str">
        <f t="shared" si="1"/>
        <v>No</v>
      </c>
      <c r="G62" s="5"/>
    </row>
    <row r="63" spans="1:7" hidden="1" x14ac:dyDescent="0.45">
      <c r="A63" s="1">
        <v>1</v>
      </c>
      <c r="B63" s="1" t="s">
        <v>30</v>
      </c>
      <c r="C63" s="1" t="s">
        <v>28</v>
      </c>
      <c r="D63" s="1" t="str">
        <f t="shared" si="1"/>
        <v>No</v>
      </c>
      <c r="G63" s="5"/>
    </row>
    <row r="64" spans="1:7" hidden="1" x14ac:dyDescent="0.45">
      <c r="A64" s="1">
        <v>1</v>
      </c>
      <c r="B64" s="1" t="s">
        <v>101</v>
      </c>
      <c r="C64" s="1" t="s">
        <v>28</v>
      </c>
      <c r="D64" s="1" t="str">
        <f t="shared" si="1"/>
        <v>No</v>
      </c>
      <c r="G64" s="5"/>
    </row>
    <row r="65" spans="1:7" hidden="1" x14ac:dyDescent="0.45">
      <c r="A65" s="1">
        <v>1</v>
      </c>
      <c r="B65" s="1" t="s">
        <v>102</v>
      </c>
      <c r="C65" s="1" t="s">
        <v>28</v>
      </c>
      <c r="D65" s="1" t="str">
        <f t="shared" si="1"/>
        <v>No</v>
      </c>
      <c r="G65" s="5"/>
    </row>
    <row r="66" spans="1:7" hidden="1" x14ac:dyDescent="0.45">
      <c r="A66" s="1">
        <v>0</v>
      </c>
      <c r="B66" s="1" t="s">
        <v>127</v>
      </c>
      <c r="C66" s="1" t="s">
        <v>128</v>
      </c>
      <c r="D66" s="1" t="str">
        <f t="shared" si="1"/>
        <v>No</v>
      </c>
      <c r="E66" s="1" t="s">
        <v>271</v>
      </c>
      <c r="F66" s="1" t="str">
        <f>IF(COUNTIF($E$2:$E66, E66)=1, "Unique", "Duplicate")</f>
        <v>Unique</v>
      </c>
      <c r="G66" s="5"/>
    </row>
    <row r="67" spans="1:7" hidden="1" x14ac:dyDescent="0.45">
      <c r="A67" s="1">
        <v>1</v>
      </c>
      <c r="B67" s="1" t="s">
        <v>105</v>
      </c>
      <c r="C67" s="1" t="s">
        <v>28</v>
      </c>
      <c r="D67" s="1" t="str">
        <f t="shared" ref="D67:D130" si="2">IF(ISNUMBER(SEARCH("updated", C67)), "Yes", "No")</f>
        <v>No</v>
      </c>
      <c r="G67" s="5"/>
    </row>
    <row r="68" spans="1:7" hidden="1" x14ac:dyDescent="0.45">
      <c r="A68" s="1">
        <v>0</v>
      </c>
      <c r="B68" s="1" t="s">
        <v>130</v>
      </c>
      <c r="C68" s="1" t="s">
        <v>131</v>
      </c>
      <c r="D68" s="1" t="str">
        <f t="shared" si="2"/>
        <v>No</v>
      </c>
      <c r="E68" s="1">
        <v>9.1</v>
      </c>
      <c r="F68" s="1" t="str">
        <f>IF(COUNTIF($E$2:$E68, E68)=1, "Unique", "Duplicate")</f>
        <v>Unique</v>
      </c>
      <c r="G68" s="5"/>
    </row>
    <row r="69" spans="1:7" hidden="1" x14ac:dyDescent="0.45">
      <c r="A69" s="1">
        <v>1</v>
      </c>
      <c r="B69" s="1" t="s">
        <v>108</v>
      </c>
      <c r="C69" s="1" t="s">
        <v>28</v>
      </c>
      <c r="D69" s="1" t="str">
        <f t="shared" si="2"/>
        <v>No</v>
      </c>
      <c r="G69" s="5"/>
    </row>
    <row r="70" spans="1:7" hidden="1" x14ac:dyDescent="0.45">
      <c r="A70" s="1">
        <v>1</v>
      </c>
      <c r="B70" s="1" t="s">
        <v>109</v>
      </c>
      <c r="C70" s="1" t="s">
        <v>28</v>
      </c>
      <c r="D70" s="1" t="str">
        <f t="shared" si="2"/>
        <v>No</v>
      </c>
      <c r="G70" s="5"/>
    </row>
    <row r="71" spans="1:7" hidden="1" x14ac:dyDescent="0.45">
      <c r="A71" s="1">
        <v>0</v>
      </c>
      <c r="B71" s="1" t="s">
        <v>56</v>
      </c>
      <c r="C71" s="1" t="s">
        <v>134</v>
      </c>
      <c r="D71" s="1" t="str">
        <f t="shared" si="2"/>
        <v>No</v>
      </c>
      <c r="E71" s="1" t="s">
        <v>251</v>
      </c>
      <c r="F71" s="1" t="str">
        <f>IF(COUNTIF($E$2:$E71, E71)=1, "Unique", "Duplicate")</f>
        <v>Unique</v>
      </c>
      <c r="G71" s="5"/>
    </row>
    <row r="72" spans="1:7" hidden="1" x14ac:dyDescent="0.45">
      <c r="A72" s="1">
        <v>1</v>
      </c>
      <c r="B72" s="1" t="s">
        <v>112</v>
      </c>
      <c r="C72" s="1" t="s">
        <v>28</v>
      </c>
      <c r="D72" s="1" t="str">
        <f t="shared" si="2"/>
        <v>No</v>
      </c>
      <c r="G72" s="5"/>
    </row>
    <row r="73" spans="1:7" hidden="1" x14ac:dyDescent="0.45">
      <c r="A73" s="1">
        <v>1</v>
      </c>
      <c r="B73" s="1" t="s">
        <v>113</v>
      </c>
      <c r="C73" s="1" t="s">
        <v>28</v>
      </c>
      <c r="D73" s="1" t="str">
        <f t="shared" si="2"/>
        <v>No</v>
      </c>
      <c r="G73" s="5"/>
    </row>
    <row r="74" spans="1:7" hidden="1" x14ac:dyDescent="0.45">
      <c r="A74" s="1">
        <v>1</v>
      </c>
      <c r="B74" s="1" t="s">
        <v>27</v>
      </c>
      <c r="C74" s="1" t="s">
        <v>28</v>
      </c>
      <c r="D74" s="1" t="str">
        <f t="shared" si="2"/>
        <v>No</v>
      </c>
      <c r="G74" s="5"/>
    </row>
    <row r="75" spans="1:7" x14ac:dyDescent="0.45">
      <c r="A75" s="1">
        <v>0</v>
      </c>
      <c r="B75" s="1" t="s">
        <v>136</v>
      </c>
      <c r="C75" s="1" t="s">
        <v>137</v>
      </c>
      <c r="D75" s="1" t="str">
        <f t="shared" si="2"/>
        <v>Yes</v>
      </c>
      <c r="E75" s="1" t="s">
        <v>258</v>
      </c>
      <c r="F75" s="1" t="str">
        <f>IF(COUNTIF($E$2:$E75, E75)=1, "Unique", "Duplicate")</f>
        <v>Unique</v>
      </c>
      <c r="G75" s="5"/>
    </row>
    <row r="76" spans="1:7" hidden="1" x14ac:dyDescent="0.45">
      <c r="A76" s="1">
        <v>0</v>
      </c>
      <c r="B76" s="1" t="s">
        <v>138</v>
      </c>
      <c r="C76" s="1" t="s">
        <v>139</v>
      </c>
      <c r="D76" s="1" t="str">
        <f t="shared" si="2"/>
        <v>No</v>
      </c>
      <c r="E76" s="1" t="s">
        <v>272</v>
      </c>
      <c r="F76" s="1" t="str">
        <f>IF(COUNTIF($E$2:$E76, E76)=1, "Unique", "Duplicate")</f>
        <v>Unique</v>
      </c>
      <c r="G76" s="5"/>
    </row>
    <row r="77" spans="1:7" hidden="1" x14ac:dyDescent="0.45">
      <c r="A77" s="1">
        <v>1</v>
      </c>
      <c r="B77" s="1" t="s">
        <v>117</v>
      </c>
      <c r="C77" s="1" t="s">
        <v>28</v>
      </c>
      <c r="D77" s="1" t="str">
        <f t="shared" si="2"/>
        <v>No</v>
      </c>
      <c r="G77" s="5"/>
    </row>
    <row r="78" spans="1:7" hidden="1" x14ac:dyDescent="0.45">
      <c r="A78" s="1">
        <v>1</v>
      </c>
      <c r="B78" s="1" t="s">
        <v>118</v>
      </c>
      <c r="C78" s="1" t="s">
        <v>28</v>
      </c>
      <c r="D78" s="1" t="str">
        <f t="shared" si="2"/>
        <v>No</v>
      </c>
      <c r="G78" s="5"/>
    </row>
    <row r="79" spans="1:7" hidden="1" x14ac:dyDescent="0.45">
      <c r="A79" s="1">
        <v>1</v>
      </c>
      <c r="B79" s="1" t="s">
        <v>119</v>
      </c>
      <c r="C79" s="1" t="s">
        <v>28</v>
      </c>
      <c r="D79" s="1" t="str">
        <f t="shared" si="2"/>
        <v>No</v>
      </c>
      <c r="G79" s="5"/>
    </row>
    <row r="80" spans="1:7" hidden="1" x14ac:dyDescent="0.45">
      <c r="A80" s="1">
        <v>1</v>
      </c>
      <c r="B80" s="1" t="s">
        <v>120</v>
      </c>
      <c r="C80" s="1" t="s">
        <v>28</v>
      </c>
      <c r="D80" s="1" t="str">
        <f t="shared" si="2"/>
        <v>No</v>
      </c>
      <c r="G80" s="5"/>
    </row>
    <row r="81" spans="1:7" x14ac:dyDescent="0.45">
      <c r="A81" s="1">
        <v>0</v>
      </c>
      <c r="B81" s="1" t="s">
        <v>140</v>
      </c>
      <c r="C81" s="1" t="s">
        <v>141</v>
      </c>
      <c r="D81" s="1" t="str">
        <f t="shared" si="2"/>
        <v>Yes</v>
      </c>
      <c r="E81" s="1" t="s">
        <v>259</v>
      </c>
      <c r="F81" s="1" t="str">
        <f>IF(COUNTIF($E$2:$E81, E81)=1, "Unique", "Duplicate")</f>
        <v>Unique</v>
      </c>
      <c r="G81" s="5"/>
    </row>
    <row r="82" spans="1:7" x14ac:dyDescent="0.45">
      <c r="A82" s="1">
        <v>0</v>
      </c>
      <c r="B82" s="1" t="s">
        <v>148</v>
      </c>
      <c r="C82" s="1" t="s">
        <v>149</v>
      </c>
      <c r="D82" s="1" t="str">
        <f t="shared" si="2"/>
        <v>Yes</v>
      </c>
      <c r="E82" s="1">
        <v>10.5</v>
      </c>
      <c r="F82" s="1" t="str">
        <f>IF(COUNTIF($E$2:$E82, E82)=1, "Unique", "Duplicate")</f>
        <v>Unique</v>
      </c>
      <c r="G82" s="5"/>
    </row>
    <row r="83" spans="1:7" hidden="1" x14ac:dyDescent="0.45">
      <c r="A83" s="1">
        <v>0</v>
      </c>
      <c r="B83" s="1" t="s">
        <v>157</v>
      </c>
      <c r="C83" s="1" t="s">
        <v>158</v>
      </c>
      <c r="D83" s="1" t="str">
        <f t="shared" si="2"/>
        <v>No</v>
      </c>
      <c r="E83" s="1" t="s">
        <v>260</v>
      </c>
      <c r="F83" s="1" t="str">
        <f>IF(COUNTIF($E$2:$E83, E83)=1, "Unique", "Duplicate")</f>
        <v>Unique</v>
      </c>
      <c r="G83" s="5"/>
    </row>
    <row r="84" spans="1:7" hidden="1" x14ac:dyDescent="0.45">
      <c r="A84" s="1">
        <v>1</v>
      </c>
      <c r="B84" s="1" t="s">
        <v>126</v>
      </c>
      <c r="C84" s="1" t="s">
        <v>28</v>
      </c>
      <c r="D84" s="1" t="str">
        <f t="shared" si="2"/>
        <v>No</v>
      </c>
      <c r="G84" s="5"/>
    </row>
    <row r="85" spans="1:7" hidden="1" x14ac:dyDescent="0.45">
      <c r="A85" s="1">
        <v>0</v>
      </c>
      <c r="B85" s="1" t="s">
        <v>170</v>
      </c>
      <c r="C85" s="1" t="s">
        <v>171</v>
      </c>
      <c r="D85" s="1" t="str">
        <f t="shared" si="2"/>
        <v>No</v>
      </c>
      <c r="E85" s="1">
        <v>20.3</v>
      </c>
      <c r="F85" s="1" t="str">
        <f>IF(COUNTIF($E$2:$E85, E85)=1, "Unique", "Duplicate")</f>
        <v>Unique</v>
      </c>
      <c r="G85" s="5"/>
    </row>
    <row r="86" spans="1:7" hidden="1" x14ac:dyDescent="0.45">
      <c r="A86" s="1">
        <v>1</v>
      </c>
      <c r="B86" s="1" t="s">
        <v>129</v>
      </c>
      <c r="C86" s="1" t="s">
        <v>28</v>
      </c>
      <c r="D86" s="1" t="str">
        <f t="shared" si="2"/>
        <v>No</v>
      </c>
      <c r="G86" s="5"/>
    </row>
    <row r="87" spans="1:7" hidden="1" x14ac:dyDescent="0.45">
      <c r="A87" s="1">
        <v>1</v>
      </c>
      <c r="B87" s="1" t="s">
        <v>83</v>
      </c>
      <c r="C87" s="1" t="s">
        <v>28</v>
      </c>
      <c r="D87" s="1" t="str">
        <f t="shared" si="2"/>
        <v>No</v>
      </c>
      <c r="G87" s="5"/>
    </row>
    <row r="88" spans="1:7" hidden="1" x14ac:dyDescent="0.45">
      <c r="A88" s="1">
        <v>0</v>
      </c>
      <c r="B88" s="1" t="s">
        <v>176</v>
      </c>
      <c r="C88" s="1" t="s">
        <v>177</v>
      </c>
      <c r="D88" s="1" t="str">
        <f t="shared" si="2"/>
        <v>No</v>
      </c>
      <c r="E88" s="1" t="s">
        <v>273</v>
      </c>
      <c r="F88" s="1" t="str">
        <f>IF(COUNTIF($E$2:$E88, E88)=1, "Unique", "Duplicate")</f>
        <v>Unique</v>
      </c>
      <c r="G88" s="5"/>
    </row>
    <row r="89" spans="1:7" hidden="1" x14ac:dyDescent="0.45">
      <c r="A89" s="1">
        <v>1</v>
      </c>
      <c r="B89" s="1" t="s">
        <v>132</v>
      </c>
      <c r="C89" s="1" t="s">
        <v>28</v>
      </c>
      <c r="D89" s="1" t="str">
        <f t="shared" si="2"/>
        <v>No</v>
      </c>
      <c r="G89" s="5"/>
    </row>
    <row r="90" spans="1:7" hidden="1" x14ac:dyDescent="0.45">
      <c r="A90" s="1">
        <v>1</v>
      </c>
      <c r="B90" s="1" t="s">
        <v>133</v>
      </c>
      <c r="C90" s="1" t="s">
        <v>28</v>
      </c>
      <c r="D90" s="1" t="str">
        <f t="shared" si="2"/>
        <v>No</v>
      </c>
      <c r="G90" s="5"/>
    </row>
    <row r="91" spans="1:7" hidden="1" x14ac:dyDescent="0.45">
      <c r="A91" s="1">
        <v>0</v>
      </c>
      <c r="B91" s="1" t="s">
        <v>180</v>
      </c>
      <c r="C91" s="1" t="s">
        <v>181</v>
      </c>
      <c r="D91" s="1" t="str">
        <f t="shared" si="2"/>
        <v>No</v>
      </c>
      <c r="E91" s="1" t="s">
        <v>261</v>
      </c>
      <c r="F91" s="1" t="str">
        <f>IF(COUNTIF($E$2:$E91, E91)=1, "Unique", "Duplicate")</f>
        <v>Unique</v>
      </c>
      <c r="G91" s="5"/>
    </row>
    <row r="92" spans="1:7" hidden="1" x14ac:dyDescent="0.45">
      <c r="A92" s="1">
        <v>1</v>
      </c>
      <c r="B92" s="1" t="s">
        <v>67</v>
      </c>
      <c r="C92" s="1" t="s">
        <v>28</v>
      </c>
      <c r="D92" s="1" t="str">
        <f t="shared" si="2"/>
        <v>No</v>
      </c>
      <c r="G92" s="5"/>
    </row>
    <row r="93" spans="1:7" hidden="1" x14ac:dyDescent="0.45">
      <c r="A93" s="1">
        <v>1</v>
      </c>
      <c r="B93" s="1" t="s">
        <v>135</v>
      </c>
      <c r="C93" s="1" t="s">
        <v>28</v>
      </c>
      <c r="D93" s="1" t="str">
        <f t="shared" si="2"/>
        <v>No</v>
      </c>
      <c r="G93" s="5"/>
    </row>
    <row r="94" spans="1:7" x14ac:dyDescent="0.45">
      <c r="A94" s="1">
        <v>0</v>
      </c>
      <c r="B94" s="1" t="s">
        <v>101</v>
      </c>
      <c r="C94" s="1" t="s">
        <v>189</v>
      </c>
      <c r="D94" s="1" t="str">
        <f t="shared" si="2"/>
        <v>Yes</v>
      </c>
      <c r="E94" s="1" t="s">
        <v>262</v>
      </c>
      <c r="F94" s="1" t="str">
        <f>IF(COUNTIF($E$2:$E94, E94)=1, "Unique", "Duplicate")</f>
        <v>Unique</v>
      </c>
      <c r="G94" s="5"/>
    </row>
    <row r="95" spans="1:7" x14ac:dyDescent="0.45">
      <c r="A95" s="1">
        <v>0</v>
      </c>
      <c r="B95" s="1" t="s">
        <v>191</v>
      </c>
      <c r="C95" s="1" t="s">
        <v>192</v>
      </c>
      <c r="D95" s="1" t="str">
        <f t="shared" si="2"/>
        <v>Yes</v>
      </c>
      <c r="E95" s="1">
        <v>7.5</v>
      </c>
      <c r="F95" s="1" t="str">
        <f>IF(COUNTIF($E$2:$E95, E95)=1, "Unique", "Duplicate")</f>
        <v>Unique</v>
      </c>
      <c r="G95" s="5"/>
    </row>
    <row r="96" spans="1:7" hidden="1" x14ac:dyDescent="0.45">
      <c r="A96" s="1">
        <v>0</v>
      </c>
      <c r="B96" s="1" t="s">
        <v>120</v>
      </c>
      <c r="C96" s="1" t="s">
        <v>196</v>
      </c>
      <c r="D96" s="1" t="str">
        <f t="shared" si="2"/>
        <v>No</v>
      </c>
      <c r="E96" s="1" t="s">
        <v>274</v>
      </c>
      <c r="F96" s="1" t="str">
        <f>IF(COUNTIF($E$2:$E96, E96)=1, "Unique", "Duplicate")</f>
        <v>Unique</v>
      </c>
      <c r="G96" s="5"/>
    </row>
    <row r="97" spans="1:7" hidden="1" x14ac:dyDescent="0.45">
      <c r="A97" s="1">
        <v>1</v>
      </c>
      <c r="B97" s="1" t="s">
        <v>23</v>
      </c>
      <c r="C97" s="1" t="s">
        <v>28</v>
      </c>
      <c r="D97" s="1" t="str">
        <f t="shared" si="2"/>
        <v>No</v>
      </c>
      <c r="G97" s="5"/>
    </row>
    <row r="98" spans="1:7" hidden="1" x14ac:dyDescent="0.45">
      <c r="A98" s="1">
        <v>0</v>
      </c>
      <c r="B98" s="1" t="s">
        <v>205</v>
      </c>
      <c r="C98" s="1" t="s">
        <v>206</v>
      </c>
      <c r="D98" s="1" t="str">
        <f t="shared" si="2"/>
        <v>No</v>
      </c>
      <c r="E98" s="1">
        <v>7.3</v>
      </c>
      <c r="F98" s="1" t="str">
        <f>IF(COUNTIF($E$2:$E98, E98)=1, "Unique", "Duplicate")</f>
        <v>Unique</v>
      </c>
      <c r="G98" s="5"/>
    </row>
    <row r="99" spans="1:7" hidden="1" x14ac:dyDescent="0.45">
      <c r="A99" s="1">
        <v>1</v>
      </c>
      <c r="B99" s="1" t="s">
        <v>68</v>
      </c>
      <c r="C99" s="1" t="s">
        <v>28</v>
      </c>
      <c r="D99" s="1" t="str">
        <f t="shared" si="2"/>
        <v>No</v>
      </c>
      <c r="G99" s="5"/>
    </row>
    <row r="100" spans="1:7" hidden="1" x14ac:dyDescent="0.45">
      <c r="A100" s="1">
        <v>1</v>
      </c>
      <c r="B100" s="1" t="s">
        <v>144</v>
      </c>
      <c r="C100" s="1" t="s">
        <v>28</v>
      </c>
      <c r="D100" s="1" t="str">
        <f t="shared" si="2"/>
        <v>No</v>
      </c>
      <c r="G100" s="5"/>
    </row>
    <row r="101" spans="1:7" hidden="1" x14ac:dyDescent="0.45">
      <c r="A101" s="1">
        <v>1</v>
      </c>
      <c r="B101" s="1" t="s">
        <v>145</v>
      </c>
      <c r="C101" s="1" t="s">
        <v>28</v>
      </c>
      <c r="D101" s="1" t="str">
        <f t="shared" si="2"/>
        <v>No</v>
      </c>
      <c r="G101" s="5"/>
    </row>
    <row r="102" spans="1:7" hidden="1" x14ac:dyDescent="0.45">
      <c r="A102" s="1">
        <v>1</v>
      </c>
      <c r="B102" s="1" t="s">
        <v>146</v>
      </c>
      <c r="C102" s="1" t="s">
        <v>28</v>
      </c>
      <c r="D102" s="1" t="str">
        <f t="shared" si="2"/>
        <v>No</v>
      </c>
      <c r="G102" s="5"/>
    </row>
    <row r="103" spans="1:7" hidden="1" x14ac:dyDescent="0.45">
      <c r="A103" s="1">
        <v>1</v>
      </c>
      <c r="B103" s="1" t="s">
        <v>147</v>
      </c>
      <c r="C103" s="1" t="s">
        <v>28</v>
      </c>
      <c r="D103" s="1" t="str">
        <f t="shared" si="2"/>
        <v>No</v>
      </c>
      <c r="G103" s="5"/>
    </row>
    <row r="104" spans="1:7" x14ac:dyDescent="0.45">
      <c r="A104" s="1">
        <v>0</v>
      </c>
      <c r="B104" s="1" t="s">
        <v>183</v>
      </c>
      <c r="C104" s="1" t="s">
        <v>209</v>
      </c>
      <c r="D104" s="1" t="str">
        <f t="shared" si="2"/>
        <v>Yes</v>
      </c>
      <c r="E104" s="1" t="s">
        <v>263</v>
      </c>
      <c r="F104" s="1" t="str">
        <f>IF(COUNTIF($E$2:$E104, E104)=1, "Unique", "Duplicate")</f>
        <v>Unique</v>
      </c>
      <c r="G104" s="5"/>
    </row>
    <row r="105" spans="1:7" hidden="1" x14ac:dyDescent="0.45">
      <c r="A105" s="1">
        <v>1</v>
      </c>
      <c r="B105" s="1" t="s">
        <v>150</v>
      </c>
      <c r="C105" s="1" t="s">
        <v>28</v>
      </c>
      <c r="D105" s="1" t="str">
        <f t="shared" si="2"/>
        <v>No</v>
      </c>
      <c r="G105" s="5"/>
    </row>
    <row r="106" spans="1:7" hidden="1" x14ac:dyDescent="0.45">
      <c r="A106" s="1">
        <v>1</v>
      </c>
      <c r="B106" s="1" t="s">
        <v>151</v>
      </c>
      <c r="C106" s="1" t="s">
        <v>28</v>
      </c>
      <c r="D106" s="1" t="str">
        <f t="shared" si="2"/>
        <v>No</v>
      </c>
      <c r="G106" s="5"/>
    </row>
    <row r="107" spans="1:7" hidden="1" x14ac:dyDescent="0.45">
      <c r="A107" s="1">
        <v>1</v>
      </c>
      <c r="B107" s="1" t="s">
        <v>102</v>
      </c>
      <c r="C107" s="1" t="s">
        <v>28</v>
      </c>
      <c r="D107" s="1" t="str">
        <f t="shared" si="2"/>
        <v>No</v>
      </c>
      <c r="G107" s="5"/>
    </row>
    <row r="108" spans="1:7" hidden="1" x14ac:dyDescent="0.45">
      <c r="A108" s="1">
        <v>1</v>
      </c>
      <c r="B108" s="1" t="s">
        <v>152</v>
      </c>
      <c r="C108" s="1" t="s">
        <v>28</v>
      </c>
      <c r="D108" s="1" t="str">
        <f t="shared" si="2"/>
        <v>No</v>
      </c>
      <c r="G108" s="5"/>
    </row>
    <row r="109" spans="1:7" hidden="1" x14ac:dyDescent="0.45">
      <c r="A109" s="1">
        <v>1</v>
      </c>
      <c r="B109" s="1" t="s">
        <v>153</v>
      </c>
      <c r="C109" s="1" t="s">
        <v>28</v>
      </c>
      <c r="D109" s="1" t="str">
        <f t="shared" si="2"/>
        <v>No</v>
      </c>
      <c r="G109" s="5"/>
    </row>
    <row r="110" spans="1:7" hidden="1" x14ac:dyDescent="0.45">
      <c r="A110" s="1">
        <v>1</v>
      </c>
      <c r="B110" s="1" t="s">
        <v>154</v>
      </c>
      <c r="C110" s="1" t="s">
        <v>28</v>
      </c>
      <c r="D110" s="1" t="str">
        <f t="shared" si="2"/>
        <v>No</v>
      </c>
      <c r="G110" s="5"/>
    </row>
    <row r="111" spans="1:7" hidden="1" x14ac:dyDescent="0.45">
      <c r="A111" s="1">
        <v>1</v>
      </c>
      <c r="B111" s="1" t="s">
        <v>69</v>
      </c>
      <c r="C111" s="1" t="s">
        <v>28</v>
      </c>
      <c r="D111" s="1" t="str">
        <f t="shared" si="2"/>
        <v>No</v>
      </c>
      <c r="G111" s="5"/>
    </row>
    <row r="112" spans="1:7" hidden="1" x14ac:dyDescent="0.45">
      <c r="A112" s="1">
        <v>1</v>
      </c>
      <c r="B112" s="1" t="s">
        <v>32</v>
      </c>
      <c r="C112" s="1" t="s">
        <v>28</v>
      </c>
      <c r="D112" s="1" t="str">
        <f t="shared" si="2"/>
        <v>No</v>
      </c>
      <c r="G112" s="5"/>
    </row>
    <row r="113" spans="1:7" hidden="1" x14ac:dyDescent="0.45">
      <c r="A113" s="1">
        <v>1</v>
      </c>
      <c r="B113" s="1" t="s">
        <v>155</v>
      </c>
      <c r="C113" s="1" t="s">
        <v>28</v>
      </c>
      <c r="D113" s="1" t="str">
        <f t="shared" si="2"/>
        <v>No</v>
      </c>
      <c r="G113" s="5"/>
    </row>
    <row r="114" spans="1:7" hidden="1" x14ac:dyDescent="0.45">
      <c r="A114" s="1">
        <v>1</v>
      </c>
      <c r="B114" s="1" t="s">
        <v>156</v>
      </c>
      <c r="C114" s="1" t="s">
        <v>28</v>
      </c>
      <c r="D114" s="1" t="str">
        <f t="shared" si="2"/>
        <v>No</v>
      </c>
      <c r="G114" s="5"/>
    </row>
    <row r="115" spans="1:7" hidden="1" x14ac:dyDescent="0.45">
      <c r="A115" s="1">
        <v>0</v>
      </c>
      <c r="B115" s="1" t="s">
        <v>211</v>
      </c>
      <c r="C115" s="1" t="s">
        <v>212</v>
      </c>
      <c r="D115" s="1" t="str">
        <f t="shared" si="2"/>
        <v>No</v>
      </c>
      <c r="E115" s="1" t="s">
        <v>275</v>
      </c>
      <c r="F115" s="1" t="str">
        <f>IF(COUNTIF($E$2:$E115, E115)=1, "Unique", "Duplicate")</f>
        <v>Unique</v>
      </c>
      <c r="G115" s="5"/>
    </row>
    <row r="116" spans="1:7" hidden="1" x14ac:dyDescent="0.45">
      <c r="A116" s="1">
        <v>1</v>
      </c>
      <c r="B116" s="1" t="s">
        <v>23</v>
      </c>
      <c r="C116" s="1" t="s">
        <v>28</v>
      </c>
      <c r="D116" s="1" t="str">
        <f t="shared" si="2"/>
        <v>No</v>
      </c>
      <c r="G116" s="5"/>
    </row>
    <row r="117" spans="1:7" hidden="1" x14ac:dyDescent="0.45">
      <c r="A117" s="1">
        <v>0</v>
      </c>
      <c r="B117" s="1" t="s">
        <v>214</v>
      </c>
      <c r="C117" s="1" t="s">
        <v>215</v>
      </c>
      <c r="D117" s="1" t="str">
        <f t="shared" si="2"/>
        <v>No</v>
      </c>
      <c r="E117" s="1">
        <v>10.3</v>
      </c>
      <c r="F117" s="1" t="str">
        <f>IF(COUNTIF($E$2:$E117, E117)=1, "Unique", "Duplicate")</f>
        <v>Unique</v>
      </c>
      <c r="G117" s="5"/>
    </row>
    <row r="118" spans="1:7" hidden="1" x14ac:dyDescent="0.45">
      <c r="A118" s="1">
        <v>1</v>
      </c>
      <c r="B118" s="1" t="s">
        <v>159</v>
      </c>
      <c r="C118" s="1" t="s">
        <v>28</v>
      </c>
      <c r="D118" s="1" t="str">
        <f t="shared" si="2"/>
        <v>No</v>
      </c>
      <c r="G118" s="5"/>
    </row>
    <row r="119" spans="1:7" hidden="1" x14ac:dyDescent="0.45">
      <c r="A119" s="1">
        <v>1</v>
      </c>
      <c r="B119" s="1" t="s">
        <v>160</v>
      </c>
      <c r="C119" s="1" t="s">
        <v>28</v>
      </c>
      <c r="D119" s="1" t="str">
        <f t="shared" si="2"/>
        <v>No</v>
      </c>
      <c r="G119" s="5"/>
    </row>
    <row r="120" spans="1:7" hidden="1" x14ac:dyDescent="0.45">
      <c r="A120" s="1">
        <v>1</v>
      </c>
      <c r="B120" s="1" t="s">
        <v>161</v>
      </c>
      <c r="C120" s="1" t="s">
        <v>28</v>
      </c>
      <c r="D120" s="1" t="str">
        <f t="shared" si="2"/>
        <v>No</v>
      </c>
      <c r="G120" s="5"/>
    </row>
    <row r="121" spans="1:7" hidden="1" x14ac:dyDescent="0.45">
      <c r="A121" s="1">
        <v>1</v>
      </c>
      <c r="B121" s="1" t="s">
        <v>162</v>
      </c>
      <c r="C121" s="1" t="s">
        <v>28</v>
      </c>
      <c r="D121" s="1" t="str">
        <f t="shared" si="2"/>
        <v>No</v>
      </c>
      <c r="G121" s="5"/>
    </row>
    <row r="122" spans="1:7" hidden="1" x14ac:dyDescent="0.45">
      <c r="A122" s="1">
        <v>1</v>
      </c>
      <c r="B122" s="1" t="s">
        <v>163</v>
      </c>
      <c r="C122" s="1" t="s">
        <v>28</v>
      </c>
      <c r="D122" s="1" t="str">
        <f t="shared" si="2"/>
        <v>No</v>
      </c>
      <c r="G122" s="5"/>
    </row>
    <row r="123" spans="1:7" hidden="1" x14ac:dyDescent="0.45">
      <c r="A123" s="1">
        <v>1</v>
      </c>
      <c r="B123" s="1" t="s">
        <v>117</v>
      </c>
      <c r="C123" s="1" t="s">
        <v>28</v>
      </c>
      <c r="D123" s="1" t="str">
        <f t="shared" si="2"/>
        <v>No</v>
      </c>
      <c r="G123" s="5"/>
    </row>
    <row r="124" spans="1:7" hidden="1" x14ac:dyDescent="0.45">
      <c r="A124" s="1">
        <v>1</v>
      </c>
      <c r="B124" s="1" t="s">
        <v>48</v>
      </c>
      <c r="C124" s="1" t="s">
        <v>28</v>
      </c>
      <c r="D124" s="1" t="str">
        <f t="shared" si="2"/>
        <v>No</v>
      </c>
      <c r="G124" s="5"/>
    </row>
    <row r="125" spans="1:7" hidden="1" x14ac:dyDescent="0.45">
      <c r="A125" s="1">
        <v>1</v>
      </c>
      <c r="B125" s="1" t="s">
        <v>164</v>
      </c>
      <c r="C125" s="1" t="s">
        <v>28</v>
      </c>
      <c r="D125" s="1" t="str">
        <f t="shared" si="2"/>
        <v>No</v>
      </c>
      <c r="G125" s="5"/>
    </row>
    <row r="126" spans="1:7" hidden="1" x14ac:dyDescent="0.45">
      <c r="A126" s="1">
        <v>1</v>
      </c>
      <c r="B126" s="1" t="s">
        <v>126</v>
      </c>
      <c r="C126" s="1" t="s">
        <v>28</v>
      </c>
      <c r="D126" s="1" t="str">
        <f t="shared" si="2"/>
        <v>No</v>
      </c>
      <c r="G126" s="5"/>
    </row>
    <row r="127" spans="1:7" hidden="1" x14ac:dyDescent="0.45">
      <c r="A127" s="1">
        <v>1</v>
      </c>
      <c r="B127" s="1" t="s">
        <v>165</v>
      </c>
      <c r="C127" s="1" t="s">
        <v>28</v>
      </c>
      <c r="D127" s="1" t="str">
        <f t="shared" si="2"/>
        <v>No</v>
      </c>
      <c r="G127" s="5"/>
    </row>
    <row r="128" spans="1:7" hidden="1" x14ac:dyDescent="0.45">
      <c r="A128" s="1">
        <v>1</v>
      </c>
      <c r="B128" s="1" t="s">
        <v>166</v>
      </c>
      <c r="C128" s="1" t="s">
        <v>28</v>
      </c>
      <c r="D128" s="1" t="str">
        <f t="shared" si="2"/>
        <v>No</v>
      </c>
      <c r="G128" s="5"/>
    </row>
    <row r="129" spans="1:7" hidden="1" x14ac:dyDescent="0.45">
      <c r="A129" s="1">
        <v>1</v>
      </c>
      <c r="B129" s="1" t="s">
        <v>167</v>
      </c>
      <c r="C129" s="1" t="s">
        <v>28</v>
      </c>
      <c r="D129" s="1" t="str">
        <f t="shared" si="2"/>
        <v>No</v>
      </c>
      <c r="G129" s="5"/>
    </row>
    <row r="130" spans="1:7" hidden="1" x14ac:dyDescent="0.45">
      <c r="A130" s="1">
        <v>1</v>
      </c>
      <c r="B130" s="1" t="s">
        <v>96</v>
      </c>
      <c r="C130" s="1" t="s">
        <v>28</v>
      </c>
      <c r="D130" s="1" t="str">
        <f t="shared" si="2"/>
        <v>No</v>
      </c>
      <c r="G130" s="5"/>
    </row>
    <row r="131" spans="1:7" hidden="1" x14ac:dyDescent="0.45">
      <c r="A131" s="1">
        <v>1</v>
      </c>
      <c r="B131" s="1" t="s">
        <v>168</v>
      </c>
      <c r="C131" s="1" t="s">
        <v>28</v>
      </c>
      <c r="D131" s="1" t="str">
        <f t="shared" ref="D131:D194" si="3">IF(ISNUMBER(SEARCH("updated", C131)), "Yes", "No")</f>
        <v>No</v>
      </c>
      <c r="G131" s="5"/>
    </row>
    <row r="132" spans="1:7" hidden="1" x14ac:dyDescent="0.45">
      <c r="A132" s="1">
        <v>1</v>
      </c>
      <c r="B132" s="1" t="s">
        <v>135</v>
      </c>
      <c r="C132" s="1" t="s">
        <v>28</v>
      </c>
      <c r="D132" s="1" t="str">
        <f t="shared" si="3"/>
        <v>No</v>
      </c>
      <c r="G132" s="5"/>
    </row>
    <row r="133" spans="1:7" hidden="1" x14ac:dyDescent="0.45">
      <c r="A133" s="1">
        <v>1</v>
      </c>
      <c r="B133" s="1" t="s">
        <v>105</v>
      </c>
      <c r="C133" s="1" t="s">
        <v>28</v>
      </c>
      <c r="D133" s="1" t="str">
        <f t="shared" si="3"/>
        <v>No</v>
      </c>
      <c r="G133" s="5"/>
    </row>
    <row r="134" spans="1:7" hidden="1" x14ac:dyDescent="0.45">
      <c r="A134" s="1">
        <v>1</v>
      </c>
      <c r="B134" s="1" t="s">
        <v>169</v>
      </c>
      <c r="C134" s="1" t="s">
        <v>28</v>
      </c>
      <c r="D134" s="1" t="str">
        <f t="shared" si="3"/>
        <v>No</v>
      </c>
      <c r="G134" s="5"/>
    </row>
    <row r="135" spans="1:7" x14ac:dyDescent="0.45">
      <c r="A135" s="1">
        <v>0</v>
      </c>
      <c r="B135" s="1" t="s">
        <v>225</v>
      </c>
      <c r="C135" s="1" t="s">
        <v>226</v>
      </c>
      <c r="D135" s="1" t="str">
        <f t="shared" si="3"/>
        <v>Yes</v>
      </c>
      <c r="E135" s="1" t="s">
        <v>276</v>
      </c>
      <c r="F135" s="1" t="str">
        <f>IF(COUNTIF($E$2:$E135, E135)=1, "Unique", "Duplicate")</f>
        <v>Unique</v>
      </c>
      <c r="G135" s="5"/>
    </row>
    <row r="136" spans="1:7" hidden="1" x14ac:dyDescent="0.45">
      <c r="A136" s="1">
        <v>1</v>
      </c>
      <c r="B136" s="1" t="s">
        <v>172</v>
      </c>
      <c r="C136" s="1" t="s">
        <v>28</v>
      </c>
      <c r="D136" s="1" t="str">
        <f t="shared" si="3"/>
        <v>No</v>
      </c>
      <c r="G136" s="5"/>
    </row>
    <row r="137" spans="1:7" hidden="1" x14ac:dyDescent="0.45">
      <c r="A137" s="1">
        <v>1</v>
      </c>
      <c r="B137" s="1" t="s">
        <v>173</v>
      </c>
      <c r="C137" s="1" t="s">
        <v>28</v>
      </c>
      <c r="D137" s="1" t="str">
        <f t="shared" si="3"/>
        <v>No</v>
      </c>
      <c r="G137" s="5"/>
    </row>
    <row r="138" spans="1:7" hidden="1" x14ac:dyDescent="0.45">
      <c r="A138" s="1">
        <v>1</v>
      </c>
      <c r="B138" s="1" t="s">
        <v>174</v>
      </c>
      <c r="C138" s="1" t="s">
        <v>28</v>
      </c>
      <c r="D138" s="1" t="str">
        <f t="shared" si="3"/>
        <v>No</v>
      </c>
      <c r="G138" s="5"/>
    </row>
    <row r="139" spans="1:7" hidden="1" x14ac:dyDescent="0.45">
      <c r="A139" s="1">
        <v>1</v>
      </c>
      <c r="B139" s="1" t="s">
        <v>175</v>
      </c>
      <c r="C139" s="1" t="s">
        <v>28</v>
      </c>
      <c r="D139" s="1" t="str">
        <f t="shared" si="3"/>
        <v>No</v>
      </c>
      <c r="G139" s="5"/>
    </row>
    <row r="140" spans="1:7" hidden="1" x14ac:dyDescent="0.45">
      <c r="A140" s="1">
        <v>1</v>
      </c>
      <c r="B140" s="1" t="s">
        <v>74</v>
      </c>
      <c r="C140" s="1" t="s">
        <v>28</v>
      </c>
      <c r="D140" s="1" t="str">
        <f t="shared" si="3"/>
        <v>No</v>
      </c>
      <c r="G140" s="5"/>
    </row>
    <row r="141" spans="1:7" hidden="1" x14ac:dyDescent="0.45">
      <c r="A141" s="1">
        <v>0</v>
      </c>
      <c r="B141" s="1" t="s">
        <v>68</v>
      </c>
      <c r="C141" s="1" t="s">
        <v>230</v>
      </c>
      <c r="D141" s="1" t="str">
        <f t="shared" si="3"/>
        <v>No</v>
      </c>
      <c r="E141" s="1" t="s">
        <v>264</v>
      </c>
      <c r="F141" s="1" t="str">
        <f>IF(COUNTIF($E$2:$E141, E141)=1, "Unique", "Duplicate")</f>
        <v>Unique</v>
      </c>
      <c r="G141" s="5"/>
    </row>
    <row r="142" spans="1:7" hidden="1" x14ac:dyDescent="0.45">
      <c r="A142" s="1">
        <v>1</v>
      </c>
      <c r="B142" s="1" t="s">
        <v>178</v>
      </c>
      <c r="C142" s="1" t="s">
        <v>28</v>
      </c>
      <c r="D142" s="1" t="str">
        <f t="shared" si="3"/>
        <v>No</v>
      </c>
      <c r="G142" s="5"/>
    </row>
    <row r="143" spans="1:7" hidden="1" x14ac:dyDescent="0.45">
      <c r="A143" s="1">
        <v>1</v>
      </c>
      <c r="B143" s="1" t="s">
        <v>179</v>
      </c>
      <c r="C143" s="1" t="s">
        <v>28</v>
      </c>
      <c r="D143" s="1" t="str">
        <f t="shared" si="3"/>
        <v>No</v>
      </c>
      <c r="G143" s="5"/>
    </row>
    <row r="144" spans="1:7" hidden="1" x14ac:dyDescent="0.45">
      <c r="A144" s="1">
        <v>0</v>
      </c>
      <c r="B144" s="1" t="s">
        <v>112</v>
      </c>
      <c r="C144" s="1" t="s">
        <v>231</v>
      </c>
      <c r="D144" s="1" t="str">
        <f t="shared" si="3"/>
        <v>No</v>
      </c>
      <c r="E144" s="1" t="s">
        <v>277</v>
      </c>
      <c r="F144" s="1" t="str">
        <f>IF(COUNTIF($E$2:$E144, E144)=1, "Unique", "Duplicate")</f>
        <v>Unique</v>
      </c>
      <c r="G144" s="5"/>
    </row>
    <row r="145" spans="1:7" hidden="1" x14ac:dyDescent="0.45">
      <c r="A145" s="1">
        <v>0</v>
      </c>
      <c r="B145" s="1" t="s">
        <v>222</v>
      </c>
      <c r="C145" s="1" t="s">
        <v>232</v>
      </c>
      <c r="D145" s="1" t="str">
        <f t="shared" si="3"/>
        <v>No</v>
      </c>
      <c r="E145" s="1" t="s">
        <v>278</v>
      </c>
      <c r="F145" s="1" t="str">
        <f>IF(COUNTIF($E$2:$E145, E145)=1, "Unique", "Duplicate")</f>
        <v>Unique</v>
      </c>
      <c r="G145" s="5"/>
    </row>
    <row r="146" spans="1:7" hidden="1" x14ac:dyDescent="0.45">
      <c r="A146" s="1">
        <v>1</v>
      </c>
      <c r="B146" s="1" t="s">
        <v>136</v>
      </c>
      <c r="C146" s="1" t="s">
        <v>28</v>
      </c>
      <c r="D146" s="1" t="str">
        <f t="shared" si="3"/>
        <v>No</v>
      </c>
      <c r="G146" s="5"/>
    </row>
    <row r="147" spans="1:7" hidden="1" x14ac:dyDescent="0.45">
      <c r="A147" s="1">
        <v>1</v>
      </c>
      <c r="B147" s="1" t="s">
        <v>183</v>
      </c>
      <c r="C147" s="1" t="s">
        <v>28</v>
      </c>
      <c r="D147" s="1" t="str">
        <f t="shared" si="3"/>
        <v>No</v>
      </c>
      <c r="G147" s="5"/>
    </row>
    <row r="148" spans="1:7" x14ac:dyDescent="0.45">
      <c r="A148" s="1">
        <v>0</v>
      </c>
      <c r="B148" s="1" t="s">
        <v>235</v>
      </c>
      <c r="C148" s="1" t="s">
        <v>236</v>
      </c>
      <c r="D148" s="1" t="str">
        <f t="shared" si="3"/>
        <v>Yes</v>
      </c>
      <c r="E148" s="1" t="s">
        <v>279</v>
      </c>
      <c r="F148" s="1" t="str">
        <f>IF(COUNTIF($E$2:$E148, E148)=1, "Unique", "Duplicate")</f>
        <v>Unique</v>
      </c>
      <c r="G148" s="5"/>
    </row>
    <row r="149" spans="1:7" hidden="1" x14ac:dyDescent="0.45">
      <c r="A149" s="1">
        <v>1</v>
      </c>
      <c r="B149" s="1" t="s">
        <v>184</v>
      </c>
      <c r="C149" s="1" t="s">
        <v>28</v>
      </c>
      <c r="D149" s="1" t="str">
        <f t="shared" si="3"/>
        <v>No</v>
      </c>
      <c r="G149" s="5"/>
    </row>
    <row r="150" spans="1:7" hidden="1" x14ac:dyDescent="0.45">
      <c r="A150" s="1">
        <v>1</v>
      </c>
      <c r="B150" s="1" t="s">
        <v>77</v>
      </c>
      <c r="C150" s="1" t="s">
        <v>28</v>
      </c>
      <c r="D150" s="1" t="str">
        <f t="shared" si="3"/>
        <v>No</v>
      </c>
      <c r="G150" s="5"/>
    </row>
    <row r="151" spans="1:7" hidden="1" x14ac:dyDescent="0.45">
      <c r="A151" s="1">
        <v>1</v>
      </c>
      <c r="B151" s="1" t="s">
        <v>185</v>
      </c>
      <c r="C151" s="1" t="s">
        <v>28</v>
      </c>
      <c r="D151" s="1" t="str">
        <f t="shared" si="3"/>
        <v>No</v>
      </c>
      <c r="G151" s="5"/>
    </row>
    <row r="152" spans="1:7" hidden="1" x14ac:dyDescent="0.45">
      <c r="A152" s="1">
        <v>1</v>
      </c>
      <c r="B152" s="1" t="s">
        <v>186</v>
      </c>
      <c r="C152" s="1" t="s">
        <v>28</v>
      </c>
      <c r="D152" s="1" t="str">
        <f t="shared" si="3"/>
        <v>No</v>
      </c>
      <c r="G152" s="5"/>
    </row>
    <row r="153" spans="1:7" hidden="1" x14ac:dyDescent="0.45">
      <c r="A153" s="1">
        <v>1</v>
      </c>
      <c r="B153" s="1" t="s">
        <v>27</v>
      </c>
      <c r="C153" s="1" t="s">
        <v>28</v>
      </c>
      <c r="D153" s="1" t="str">
        <f t="shared" si="3"/>
        <v>No</v>
      </c>
      <c r="G153" s="5"/>
    </row>
    <row r="154" spans="1:7" hidden="1" x14ac:dyDescent="0.45">
      <c r="A154" s="1">
        <v>1</v>
      </c>
      <c r="B154" s="1" t="s">
        <v>148</v>
      </c>
      <c r="C154" s="1" t="s">
        <v>28</v>
      </c>
      <c r="D154" s="1" t="str">
        <f t="shared" si="3"/>
        <v>No</v>
      </c>
      <c r="G154" s="5"/>
    </row>
    <row r="155" spans="1:7" hidden="1" x14ac:dyDescent="0.45">
      <c r="A155" s="1">
        <v>1</v>
      </c>
      <c r="B155" s="1" t="s">
        <v>187</v>
      </c>
      <c r="C155" s="1" t="s">
        <v>28</v>
      </c>
      <c r="D155" s="1" t="str">
        <f t="shared" si="3"/>
        <v>No</v>
      </c>
      <c r="G155" s="5"/>
    </row>
    <row r="156" spans="1:7" hidden="1" x14ac:dyDescent="0.45">
      <c r="A156" s="1">
        <v>1</v>
      </c>
      <c r="B156" s="1" t="s">
        <v>188</v>
      </c>
      <c r="C156" s="1" t="s">
        <v>28</v>
      </c>
      <c r="D156" s="1" t="str">
        <f t="shared" si="3"/>
        <v>No</v>
      </c>
      <c r="G156" s="5"/>
    </row>
    <row r="157" spans="1:7" hidden="1" x14ac:dyDescent="0.45">
      <c r="A157" s="1">
        <v>0</v>
      </c>
      <c r="B157" s="1" t="s">
        <v>49</v>
      </c>
      <c r="C157" s="1" t="s">
        <v>50</v>
      </c>
      <c r="D157" s="1" t="str">
        <f t="shared" si="3"/>
        <v>No</v>
      </c>
      <c r="E157" s="1" t="s">
        <v>281</v>
      </c>
      <c r="F157" s="1" t="str">
        <f>IF(COUNTIF($E$2:$E157, E157)=1, "Unique", "Duplicate")</f>
        <v>Unique</v>
      </c>
      <c r="G157" s="5"/>
    </row>
    <row r="158" spans="1:7" hidden="1" x14ac:dyDescent="0.45">
      <c r="A158" s="1">
        <v>1</v>
      </c>
      <c r="B158" s="1" t="s">
        <v>190</v>
      </c>
      <c r="C158" s="1" t="s">
        <v>28</v>
      </c>
      <c r="D158" s="1" t="str">
        <f t="shared" si="3"/>
        <v>No</v>
      </c>
      <c r="G158" s="5"/>
    </row>
    <row r="159" spans="1:7" hidden="1" x14ac:dyDescent="0.45">
      <c r="A159" s="1">
        <v>0</v>
      </c>
      <c r="B159" s="1" t="s">
        <v>78</v>
      </c>
      <c r="C159" s="1" t="s">
        <v>79</v>
      </c>
      <c r="D159" s="1" t="str">
        <f t="shared" si="3"/>
        <v>No</v>
      </c>
      <c r="E159" s="1" t="s">
        <v>280</v>
      </c>
      <c r="F159" s="1" t="str">
        <f>IF(COUNTIF($E$2:$E159, E159)=1, "Unique", "Duplicate")</f>
        <v>Duplicate</v>
      </c>
      <c r="G159" s="5"/>
    </row>
    <row r="160" spans="1:7" hidden="1" x14ac:dyDescent="0.45">
      <c r="A160" s="1">
        <v>1</v>
      </c>
      <c r="B160" s="1" t="s">
        <v>193</v>
      </c>
      <c r="C160" s="1" t="s">
        <v>28</v>
      </c>
      <c r="D160" s="1" t="str">
        <f t="shared" si="3"/>
        <v>No</v>
      </c>
      <c r="G160" s="5"/>
    </row>
    <row r="161" spans="1:7" hidden="1" x14ac:dyDescent="0.45">
      <c r="A161" s="1">
        <v>1</v>
      </c>
      <c r="B161" s="1" t="s">
        <v>179</v>
      </c>
      <c r="C161" s="1" t="s">
        <v>28</v>
      </c>
      <c r="D161" s="1" t="str">
        <f t="shared" si="3"/>
        <v>No</v>
      </c>
      <c r="G161" s="5"/>
    </row>
    <row r="162" spans="1:7" hidden="1" x14ac:dyDescent="0.45">
      <c r="A162" s="1">
        <v>0</v>
      </c>
      <c r="B162" s="1" t="s">
        <v>42</v>
      </c>
      <c r="C162" s="1" t="s">
        <v>43</v>
      </c>
      <c r="D162" s="1" t="str">
        <f t="shared" si="3"/>
        <v>Yes</v>
      </c>
      <c r="E162" s="1" t="s">
        <v>280</v>
      </c>
      <c r="F162" s="1" t="str">
        <f>IF(COUNTIF($E$2:$E162, E162)=1, "Unique", "Duplicate")</f>
        <v>Duplicate</v>
      </c>
      <c r="G162" s="5"/>
    </row>
    <row r="163" spans="1:7" hidden="1" x14ac:dyDescent="0.45">
      <c r="A163" s="1">
        <v>0</v>
      </c>
      <c r="B163" s="1" t="s">
        <v>97</v>
      </c>
      <c r="C163" s="1" t="s">
        <v>53</v>
      </c>
      <c r="D163" s="1" t="str">
        <f t="shared" si="3"/>
        <v>No</v>
      </c>
      <c r="E163" s="1">
        <v>13.6</v>
      </c>
      <c r="F163" s="1" t="str">
        <f>IF(COUNTIF($E$2:$E163, E163)=1, "Unique", "Duplicate")</f>
        <v>Duplicate</v>
      </c>
      <c r="G163" s="5"/>
    </row>
    <row r="164" spans="1:7" hidden="1" x14ac:dyDescent="0.45">
      <c r="A164" s="1">
        <v>1</v>
      </c>
      <c r="B164" s="1" t="s">
        <v>168</v>
      </c>
      <c r="C164" s="1" t="s">
        <v>28</v>
      </c>
      <c r="D164" s="1" t="str">
        <f t="shared" si="3"/>
        <v>No</v>
      </c>
      <c r="G164" s="5"/>
    </row>
    <row r="165" spans="1:7" hidden="1" x14ac:dyDescent="0.45">
      <c r="A165" s="1">
        <v>1</v>
      </c>
      <c r="B165" s="1" t="s">
        <v>197</v>
      </c>
      <c r="C165" s="1" t="s">
        <v>28</v>
      </c>
      <c r="D165" s="1" t="str">
        <f t="shared" si="3"/>
        <v>No</v>
      </c>
      <c r="G165" s="5"/>
    </row>
    <row r="166" spans="1:7" hidden="1" x14ac:dyDescent="0.45">
      <c r="A166" s="1">
        <v>1</v>
      </c>
      <c r="B166" s="1" t="s">
        <v>91</v>
      </c>
      <c r="C166" s="1" t="s">
        <v>28</v>
      </c>
      <c r="D166" s="1" t="str">
        <f t="shared" si="3"/>
        <v>No</v>
      </c>
      <c r="G166" s="5"/>
    </row>
    <row r="167" spans="1:7" hidden="1" x14ac:dyDescent="0.45">
      <c r="A167" s="1">
        <v>1</v>
      </c>
      <c r="B167" s="1" t="s">
        <v>147</v>
      </c>
      <c r="C167" s="1" t="s">
        <v>28</v>
      </c>
      <c r="D167" s="1" t="str">
        <f t="shared" si="3"/>
        <v>No</v>
      </c>
      <c r="G167" s="5"/>
    </row>
    <row r="168" spans="1:7" hidden="1" x14ac:dyDescent="0.45">
      <c r="A168" s="1">
        <v>1</v>
      </c>
      <c r="B168" s="1" t="s">
        <v>93</v>
      </c>
      <c r="C168" s="1" t="s">
        <v>28</v>
      </c>
      <c r="D168" s="1" t="str">
        <f t="shared" si="3"/>
        <v>No</v>
      </c>
      <c r="G168" s="5"/>
    </row>
    <row r="169" spans="1:7" hidden="1" x14ac:dyDescent="0.45">
      <c r="A169" s="1">
        <v>1</v>
      </c>
      <c r="B169" s="1" t="s">
        <v>185</v>
      </c>
      <c r="C169" s="1" t="s">
        <v>28</v>
      </c>
      <c r="D169" s="1" t="str">
        <f t="shared" si="3"/>
        <v>No</v>
      </c>
      <c r="G169" s="5"/>
    </row>
    <row r="170" spans="1:7" hidden="1" x14ac:dyDescent="0.45">
      <c r="A170" s="1">
        <v>0</v>
      </c>
      <c r="B170" s="1" t="s">
        <v>106</v>
      </c>
      <c r="C170" s="1" t="s">
        <v>107</v>
      </c>
      <c r="D170" s="1" t="str">
        <f t="shared" si="3"/>
        <v>No</v>
      </c>
      <c r="E170" s="1" t="s">
        <v>252</v>
      </c>
      <c r="F170" s="1" t="str">
        <f>IF(COUNTIF($E$2:$E170, E170)=1, "Unique", "Duplicate")</f>
        <v>Duplicate</v>
      </c>
      <c r="G170" s="5"/>
    </row>
    <row r="171" spans="1:7" hidden="1" x14ac:dyDescent="0.45">
      <c r="A171" s="1">
        <v>0</v>
      </c>
      <c r="B171" s="1" t="s">
        <v>114</v>
      </c>
      <c r="C171" s="1" t="s">
        <v>115</v>
      </c>
      <c r="D171" s="1" t="str">
        <f t="shared" si="3"/>
        <v>Yes</v>
      </c>
      <c r="E171" s="1" t="s">
        <v>254</v>
      </c>
      <c r="F171" s="1" t="str">
        <f>IF(COUNTIF($E$2:$E171, E171)=1, "Unique", "Duplicate")</f>
        <v>Duplicate</v>
      </c>
      <c r="G171" s="5"/>
    </row>
    <row r="172" spans="1:7" hidden="1" x14ac:dyDescent="0.45">
      <c r="A172" s="1">
        <v>1</v>
      </c>
      <c r="B172" s="1" t="s">
        <v>200</v>
      </c>
      <c r="C172" s="1" t="s">
        <v>28</v>
      </c>
      <c r="D172" s="1" t="str">
        <f t="shared" si="3"/>
        <v>No</v>
      </c>
      <c r="G172" s="5"/>
    </row>
    <row r="173" spans="1:7" hidden="1" x14ac:dyDescent="0.45">
      <c r="A173" s="1">
        <v>0</v>
      </c>
      <c r="B173" s="1" t="s">
        <v>116</v>
      </c>
      <c r="C173" s="1" t="s">
        <v>63</v>
      </c>
      <c r="D173" s="1" t="str">
        <f t="shared" si="3"/>
        <v>No</v>
      </c>
      <c r="E173" s="1" t="s">
        <v>252</v>
      </c>
      <c r="F173" s="1" t="str">
        <f>IF(COUNTIF($E$2:$E173, E173)=1, "Unique", "Duplicate")</f>
        <v>Duplicate</v>
      </c>
      <c r="G173" s="5"/>
    </row>
    <row r="174" spans="1:7" hidden="1" x14ac:dyDescent="0.45">
      <c r="A174" s="1">
        <v>1</v>
      </c>
      <c r="B174" s="1" t="s">
        <v>69</v>
      </c>
      <c r="C174" s="1" t="s">
        <v>28</v>
      </c>
      <c r="D174" s="1" t="str">
        <f t="shared" si="3"/>
        <v>No</v>
      </c>
      <c r="G174" s="5"/>
    </row>
    <row r="175" spans="1:7" hidden="1" x14ac:dyDescent="0.45">
      <c r="A175" s="1">
        <v>1</v>
      </c>
      <c r="B175" s="1" t="s">
        <v>203</v>
      </c>
      <c r="C175" s="1" t="s">
        <v>28</v>
      </c>
      <c r="D175" s="1" t="str">
        <f t="shared" si="3"/>
        <v>No</v>
      </c>
      <c r="G175" s="5"/>
    </row>
    <row r="176" spans="1:7" hidden="1" x14ac:dyDescent="0.45">
      <c r="A176" s="1">
        <v>1</v>
      </c>
      <c r="B176" s="1" t="s">
        <v>204</v>
      </c>
      <c r="C176" s="1" t="s">
        <v>28</v>
      </c>
      <c r="D176" s="1" t="str">
        <f t="shared" si="3"/>
        <v>No</v>
      </c>
      <c r="G176" s="5"/>
    </row>
    <row r="177" spans="1:7" hidden="1" x14ac:dyDescent="0.45">
      <c r="A177" s="1">
        <v>1</v>
      </c>
      <c r="B177" s="1" t="s">
        <v>144</v>
      </c>
      <c r="C177" s="1" t="s">
        <v>28</v>
      </c>
      <c r="D177" s="1" t="str">
        <f t="shared" si="3"/>
        <v>No</v>
      </c>
      <c r="G177" s="5"/>
    </row>
    <row r="178" spans="1:7" hidden="1" x14ac:dyDescent="0.45">
      <c r="A178" s="1">
        <v>0</v>
      </c>
      <c r="B178" s="1" t="s">
        <v>123</v>
      </c>
      <c r="C178" s="1" t="s">
        <v>124</v>
      </c>
      <c r="D178" s="1" t="str">
        <f t="shared" si="3"/>
        <v>No</v>
      </c>
      <c r="E178" s="1" t="s">
        <v>256</v>
      </c>
      <c r="F178" s="1" t="str">
        <f>IF(COUNTIF($E$2:$E178, E178)=1, "Unique", "Duplicate")</f>
        <v>Duplicate</v>
      </c>
      <c r="G178" s="5"/>
    </row>
    <row r="179" spans="1:7" hidden="1" x14ac:dyDescent="0.45">
      <c r="A179" s="1">
        <v>1</v>
      </c>
      <c r="B179" s="1" t="s">
        <v>97</v>
      </c>
      <c r="C179" s="1" t="s">
        <v>28</v>
      </c>
      <c r="D179" s="1" t="str">
        <f t="shared" si="3"/>
        <v>No</v>
      </c>
      <c r="G179" s="5"/>
    </row>
    <row r="180" spans="1:7" hidden="1" x14ac:dyDescent="0.45">
      <c r="A180" s="1">
        <v>1</v>
      </c>
      <c r="B180" s="1" t="s">
        <v>132</v>
      </c>
      <c r="C180" s="1" t="s">
        <v>28</v>
      </c>
      <c r="D180" s="1" t="str">
        <f t="shared" si="3"/>
        <v>No</v>
      </c>
      <c r="G180" s="5"/>
    </row>
    <row r="181" spans="1:7" hidden="1" x14ac:dyDescent="0.45">
      <c r="A181" s="1">
        <v>0</v>
      </c>
      <c r="B181" s="1" t="s">
        <v>142</v>
      </c>
      <c r="C181" s="1" t="s">
        <v>143</v>
      </c>
      <c r="D181" s="1" t="str">
        <f t="shared" si="3"/>
        <v>Yes</v>
      </c>
      <c r="E181" s="1" t="s">
        <v>259</v>
      </c>
      <c r="F181" s="1" t="str">
        <f>IF(COUNTIF($E$2:$E181, E181)=1, "Unique", "Duplicate")</f>
        <v>Duplicate</v>
      </c>
      <c r="G181" s="5"/>
    </row>
    <row r="182" spans="1:7" hidden="1" x14ac:dyDescent="0.45">
      <c r="A182" s="1">
        <v>1</v>
      </c>
      <c r="B182" s="1" t="s">
        <v>166</v>
      </c>
      <c r="C182" s="1" t="s">
        <v>28</v>
      </c>
      <c r="D182" s="1" t="str">
        <f t="shared" si="3"/>
        <v>No</v>
      </c>
      <c r="G182" s="5"/>
    </row>
    <row r="183" spans="1:7" hidden="1" x14ac:dyDescent="0.45">
      <c r="A183" s="1">
        <v>1</v>
      </c>
      <c r="B183" s="1" t="s">
        <v>161</v>
      </c>
      <c r="C183" s="1" t="s">
        <v>28</v>
      </c>
      <c r="D183" s="1" t="str">
        <f t="shared" si="3"/>
        <v>No</v>
      </c>
      <c r="G183" s="5"/>
    </row>
    <row r="184" spans="1:7" hidden="1" x14ac:dyDescent="0.45">
      <c r="A184" s="1">
        <v>1</v>
      </c>
      <c r="B184" s="1" t="s">
        <v>110</v>
      </c>
      <c r="C184" s="1" t="s">
        <v>28</v>
      </c>
      <c r="D184" s="1" t="str">
        <f t="shared" si="3"/>
        <v>No</v>
      </c>
      <c r="G184" s="5"/>
    </row>
    <row r="185" spans="1:7" hidden="1" x14ac:dyDescent="0.45">
      <c r="A185" s="1">
        <v>0</v>
      </c>
      <c r="B185" s="1" t="s">
        <v>138</v>
      </c>
      <c r="C185" s="1" t="s">
        <v>139</v>
      </c>
      <c r="D185" s="1" t="str">
        <f t="shared" si="3"/>
        <v>No</v>
      </c>
      <c r="E185" s="1" t="s">
        <v>272</v>
      </c>
      <c r="F185" s="1" t="str">
        <f>IF(COUNTIF($E$2:$E185, E185)=1, "Unique", "Duplicate")</f>
        <v>Duplicate</v>
      </c>
      <c r="G185" s="5"/>
    </row>
    <row r="186" spans="1:7" hidden="1" x14ac:dyDescent="0.45">
      <c r="A186" s="1">
        <v>1</v>
      </c>
      <c r="B186" s="1" t="s">
        <v>210</v>
      </c>
      <c r="C186" s="1" t="s">
        <v>28</v>
      </c>
      <c r="D186" s="1" t="str">
        <f t="shared" si="3"/>
        <v>No</v>
      </c>
      <c r="G186" s="5"/>
    </row>
    <row r="187" spans="1:7" hidden="1" x14ac:dyDescent="0.45">
      <c r="A187" s="1">
        <v>1</v>
      </c>
      <c r="B187" s="1" t="s">
        <v>106</v>
      </c>
      <c r="C187" s="1" t="s">
        <v>28</v>
      </c>
      <c r="D187" s="1" t="str">
        <f t="shared" si="3"/>
        <v>No</v>
      </c>
      <c r="G187" s="5"/>
    </row>
    <row r="188" spans="1:7" hidden="1" x14ac:dyDescent="0.45">
      <c r="A188" s="1">
        <v>0</v>
      </c>
      <c r="B188" s="1" t="s">
        <v>182</v>
      </c>
      <c r="C188" s="1" t="s">
        <v>75</v>
      </c>
      <c r="D188" s="1" t="str">
        <f t="shared" si="3"/>
        <v>No</v>
      </c>
      <c r="E188" s="1" t="s">
        <v>254</v>
      </c>
      <c r="F188" s="1" t="str">
        <f>IF(COUNTIF($E$2:$E188, E188)=1, "Unique", "Duplicate")</f>
        <v>Duplicate</v>
      </c>
      <c r="G188" s="5"/>
    </row>
    <row r="189" spans="1:7" hidden="1" x14ac:dyDescent="0.45">
      <c r="A189" s="1">
        <v>0</v>
      </c>
      <c r="B189" s="1" t="s">
        <v>25</v>
      </c>
      <c r="C189" s="1" t="s">
        <v>26</v>
      </c>
      <c r="D189" s="1" t="str">
        <f t="shared" si="3"/>
        <v>Yes</v>
      </c>
      <c r="E189" s="1">
        <v>12.1</v>
      </c>
      <c r="F189" s="1" t="str">
        <f>IF(COUNTIF($E$2:$E189, E189)=1, "Unique", "Duplicate")</f>
        <v>Duplicate</v>
      </c>
      <c r="G189" s="5"/>
    </row>
    <row r="190" spans="1:7" hidden="1" x14ac:dyDescent="0.45">
      <c r="A190" s="1">
        <v>0</v>
      </c>
      <c r="B190" s="1" t="s">
        <v>194</v>
      </c>
      <c r="C190" s="1" t="s">
        <v>195</v>
      </c>
      <c r="D190" s="1" t="str">
        <f t="shared" si="3"/>
        <v>Yes</v>
      </c>
      <c r="E190" s="1" t="s">
        <v>267</v>
      </c>
      <c r="F190" s="1" t="str">
        <f>IF(COUNTIF($E$2:$E190, E190)=1, "Unique", "Duplicate")</f>
        <v>Duplicate</v>
      </c>
      <c r="G190" s="5"/>
    </row>
    <row r="191" spans="1:7" hidden="1" x14ac:dyDescent="0.45">
      <c r="A191" s="1">
        <v>0</v>
      </c>
      <c r="B191" s="1" t="s">
        <v>198</v>
      </c>
      <c r="C191" s="1" t="s">
        <v>199</v>
      </c>
      <c r="D191" s="1" t="str">
        <f t="shared" si="3"/>
        <v>Yes</v>
      </c>
      <c r="E191" s="1">
        <v>12.1</v>
      </c>
      <c r="F191" s="1" t="str">
        <f>IF(COUNTIF($E$2:$E191, E191)=1, "Unique", "Duplicate")</f>
        <v>Duplicate</v>
      </c>
      <c r="G191" s="5"/>
    </row>
    <row r="192" spans="1:7" hidden="1" x14ac:dyDescent="0.45">
      <c r="A192" s="1">
        <v>0</v>
      </c>
      <c r="B192" s="1" t="s">
        <v>180</v>
      </c>
      <c r="C192" s="1" t="s">
        <v>181</v>
      </c>
      <c r="D192" s="1" t="str">
        <f t="shared" si="3"/>
        <v>No</v>
      </c>
      <c r="E192" s="1" t="s">
        <v>261</v>
      </c>
      <c r="F192" s="1" t="str">
        <f>IF(COUNTIF($E$2:$E192, E192)=1, "Unique", "Duplicate")</f>
        <v>Duplicate</v>
      </c>
      <c r="G192" s="5"/>
    </row>
    <row r="193" spans="1:7" hidden="1" x14ac:dyDescent="0.45">
      <c r="A193" s="1">
        <v>1</v>
      </c>
      <c r="B193" s="1" t="s">
        <v>216</v>
      </c>
      <c r="C193" s="1" t="s">
        <v>28</v>
      </c>
      <c r="D193" s="1" t="str">
        <f t="shared" si="3"/>
        <v>No</v>
      </c>
      <c r="G193" s="5"/>
    </row>
    <row r="194" spans="1:7" hidden="1" x14ac:dyDescent="0.45">
      <c r="A194" s="1">
        <v>1</v>
      </c>
      <c r="B194" s="1" t="s">
        <v>86</v>
      </c>
      <c r="C194" s="1" t="s">
        <v>28</v>
      </c>
      <c r="D194" s="1" t="str">
        <f t="shared" si="3"/>
        <v>No</v>
      </c>
      <c r="G194" s="5"/>
    </row>
    <row r="195" spans="1:7" hidden="1" x14ac:dyDescent="0.45">
      <c r="A195" s="1">
        <v>1</v>
      </c>
      <c r="B195" s="1" t="s">
        <v>217</v>
      </c>
      <c r="C195" s="1" t="s">
        <v>28</v>
      </c>
      <c r="D195" s="1" t="str">
        <f t="shared" ref="D195:D251" si="4">IF(ISNUMBER(SEARCH("updated", C195)), "Yes", "No")</f>
        <v>No</v>
      </c>
      <c r="G195" s="5"/>
    </row>
    <row r="196" spans="1:7" hidden="1" x14ac:dyDescent="0.45">
      <c r="A196" s="1">
        <v>1</v>
      </c>
      <c r="B196" s="1" t="s">
        <v>218</v>
      </c>
      <c r="C196" s="1" t="s">
        <v>28</v>
      </c>
      <c r="D196" s="1" t="str">
        <f t="shared" si="4"/>
        <v>No</v>
      </c>
      <c r="G196" s="5"/>
    </row>
    <row r="197" spans="1:7" hidden="1" x14ac:dyDescent="0.45">
      <c r="A197" s="1">
        <v>1</v>
      </c>
      <c r="B197" s="1" t="s">
        <v>219</v>
      </c>
      <c r="C197" s="1" t="s">
        <v>28</v>
      </c>
      <c r="D197" s="1" t="str">
        <f t="shared" si="4"/>
        <v>No</v>
      </c>
      <c r="G197" s="5"/>
    </row>
    <row r="198" spans="1:7" hidden="1" x14ac:dyDescent="0.45">
      <c r="A198" s="1">
        <v>1</v>
      </c>
      <c r="B198" s="1" t="s">
        <v>118</v>
      </c>
      <c r="C198" s="1" t="s">
        <v>28</v>
      </c>
      <c r="D198" s="1" t="str">
        <f t="shared" si="4"/>
        <v>No</v>
      </c>
      <c r="G198" s="5"/>
    </row>
    <row r="199" spans="1:7" hidden="1" x14ac:dyDescent="0.45">
      <c r="A199" s="1">
        <v>1</v>
      </c>
      <c r="B199" s="1" t="s">
        <v>220</v>
      </c>
      <c r="C199" s="1" t="s">
        <v>28</v>
      </c>
      <c r="D199" s="1" t="str">
        <f t="shared" si="4"/>
        <v>No</v>
      </c>
      <c r="G199" s="5"/>
    </row>
    <row r="200" spans="1:7" hidden="1" x14ac:dyDescent="0.45">
      <c r="A200" s="1">
        <v>1</v>
      </c>
      <c r="B200" s="1" t="s">
        <v>221</v>
      </c>
      <c r="C200" s="1" t="s">
        <v>28</v>
      </c>
      <c r="D200" s="1" t="str">
        <f t="shared" si="4"/>
        <v>No</v>
      </c>
      <c r="G200" s="5"/>
    </row>
    <row r="201" spans="1:7" hidden="1" x14ac:dyDescent="0.45">
      <c r="A201" s="1">
        <v>1</v>
      </c>
      <c r="B201" s="1" t="s">
        <v>222</v>
      </c>
      <c r="C201" s="1" t="s">
        <v>28</v>
      </c>
      <c r="D201" s="1" t="str">
        <f t="shared" si="4"/>
        <v>No</v>
      </c>
      <c r="G201" s="5"/>
    </row>
    <row r="202" spans="1:7" hidden="1" x14ac:dyDescent="0.45">
      <c r="A202" s="1">
        <v>0</v>
      </c>
      <c r="B202" s="1" t="s">
        <v>201</v>
      </c>
      <c r="C202" s="1" t="s">
        <v>202</v>
      </c>
      <c r="D202" s="1" t="str">
        <f t="shared" si="4"/>
        <v>Yes</v>
      </c>
      <c r="E202" s="1" t="s">
        <v>261</v>
      </c>
      <c r="F202" s="1" t="str">
        <f>IF(COUNTIF($E$2:$E202, E202)=1, "Unique", "Duplicate")</f>
        <v>Duplicate</v>
      </c>
      <c r="G202" s="5"/>
    </row>
    <row r="203" spans="1:7" hidden="1" x14ac:dyDescent="0.45">
      <c r="A203" s="1">
        <v>1</v>
      </c>
      <c r="B203" s="1" t="s">
        <v>227</v>
      </c>
      <c r="C203" s="1" t="s">
        <v>28</v>
      </c>
      <c r="D203" s="1" t="str">
        <f t="shared" si="4"/>
        <v>No</v>
      </c>
      <c r="G203" s="5"/>
    </row>
    <row r="204" spans="1:7" hidden="1" x14ac:dyDescent="0.45">
      <c r="A204" s="1">
        <v>1</v>
      </c>
      <c r="B204" s="1" t="s">
        <v>219</v>
      </c>
      <c r="C204" s="1" t="s">
        <v>28</v>
      </c>
      <c r="D204" s="1" t="str">
        <f t="shared" si="4"/>
        <v>No</v>
      </c>
      <c r="G204" s="5"/>
    </row>
    <row r="205" spans="1:7" hidden="1" x14ac:dyDescent="0.45">
      <c r="A205" s="1">
        <v>1</v>
      </c>
      <c r="B205" s="1" t="s">
        <v>200</v>
      </c>
      <c r="C205" s="1" t="s">
        <v>28</v>
      </c>
      <c r="D205" s="1" t="str">
        <f t="shared" si="4"/>
        <v>No</v>
      </c>
      <c r="G205" s="5"/>
    </row>
    <row r="206" spans="1:7" hidden="1" x14ac:dyDescent="0.45">
      <c r="A206" s="1">
        <v>1</v>
      </c>
      <c r="B206" s="1" t="s">
        <v>228</v>
      </c>
      <c r="C206" s="1" t="s">
        <v>28</v>
      </c>
      <c r="D206" s="1" t="str">
        <f t="shared" si="4"/>
        <v>No</v>
      </c>
      <c r="G206" s="5"/>
    </row>
    <row r="207" spans="1:7" hidden="1" x14ac:dyDescent="0.45">
      <c r="A207" s="1">
        <v>1</v>
      </c>
      <c r="B207" s="1" t="s">
        <v>229</v>
      </c>
      <c r="C207" s="1" t="s">
        <v>28</v>
      </c>
      <c r="D207" s="1" t="str">
        <f t="shared" si="4"/>
        <v>No</v>
      </c>
      <c r="G207" s="5"/>
    </row>
    <row r="208" spans="1:7" hidden="1" x14ac:dyDescent="0.45">
      <c r="A208" s="1">
        <v>1</v>
      </c>
      <c r="B208" s="1" t="s">
        <v>174</v>
      </c>
      <c r="C208" s="1" t="s">
        <v>28</v>
      </c>
      <c r="D208" s="1" t="str">
        <f t="shared" si="4"/>
        <v>No</v>
      </c>
      <c r="G208" s="5"/>
    </row>
    <row r="209" spans="1:7" hidden="1" x14ac:dyDescent="0.45">
      <c r="A209" s="1">
        <v>0</v>
      </c>
      <c r="B209" s="1" t="s">
        <v>207</v>
      </c>
      <c r="C209" s="1" t="s">
        <v>208</v>
      </c>
      <c r="D209" s="1" t="str">
        <f t="shared" si="4"/>
        <v>No</v>
      </c>
      <c r="E209" s="1">
        <v>20.3</v>
      </c>
      <c r="F209" s="1" t="str">
        <f>IF(COUNTIF($E$2:$E209, E209)=1, "Unique", "Duplicate")</f>
        <v>Duplicate</v>
      </c>
      <c r="G209" s="5"/>
    </row>
    <row r="210" spans="1:7" hidden="1" x14ac:dyDescent="0.45">
      <c r="A210" s="1">
        <v>0</v>
      </c>
      <c r="B210" s="1" t="s">
        <v>160</v>
      </c>
      <c r="C210" s="1" t="s">
        <v>206</v>
      </c>
      <c r="D210" s="1" t="str">
        <f t="shared" si="4"/>
        <v>No</v>
      </c>
      <c r="E210" s="1">
        <v>7.3</v>
      </c>
      <c r="F210" s="1" t="str">
        <f>IF(COUNTIF($E$2:$E210, E210)=1, "Unique", "Duplicate")</f>
        <v>Duplicate</v>
      </c>
      <c r="G210" s="5"/>
    </row>
    <row r="211" spans="1:7" hidden="1" x14ac:dyDescent="0.45">
      <c r="A211" s="1">
        <v>0</v>
      </c>
      <c r="B211" s="1" t="s">
        <v>45</v>
      </c>
      <c r="C211" s="1" t="s">
        <v>213</v>
      </c>
      <c r="D211" s="1" t="str">
        <f t="shared" si="4"/>
        <v>Yes</v>
      </c>
      <c r="E211" s="1">
        <v>7.5</v>
      </c>
      <c r="F211" s="1" t="str">
        <f>IF(COUNTIF($E$2:$E211, E211)=1, "Unique", "Duplicate")</f>
        <v>Duplicate</v>
      </c>
      <c r="G211" s="5"/>
    </row>
    <row r="212" spans="1:7" hidden="1" x14ac:dyDescent="0.45">
      <c r="A212" s="1">
        <v>1</v>
      </c>
      <c r="B212" s="1" t="s">
        <v>41</v>
      </c>
      <c r="C212" s="1" t="s">
        <v>28</v>
      </c>
      <c r="D212" s="1" t="str">
        <f t="shared" si="4"/>
        <v>No</v>
      </c>
      <c r="G212" s="5"/>
    </row>
    <row r="213" spans="1:7" hidden="1" x14ac:dyDescent="0.45">
      <c r="A213" s="1">
        <v>0</v>
      </c>
      <c r="B213" s="1" t="s">
        <v>176</v>
      </c>
      <c r="C213" s="1" t="s">
        <v>177</v>
      </c>
      <c r="D213" s="1" t="str">
        <f t="shared" si="4"/>
        <v>No</v>
      </c>
      <c r="E213" s="1" t="s">
        <v>273</v>
      </c>
      <c r="F213" s="1" t="str">
        <f>IF(COUNTIF($E$2:$E213, E213)=1, "Unique", "Duplicate")</f>
        <v>Duplicate</v>
      </c>
      <c r="G213" s="5"/>
    </row>
    <row r="214" spans="1:7" hidden="1" x14ac:dyDescent="0.45">
      <c r="A214" s="1">
        <v>1</v>
      </c>
      <c r="B214" s="1" t="s">
        <v>233</v>
      </c>
      <c r="C214" s="1" t="s">
        <v>28</v>
      </c>
      <c r="D214" s="1" t="str">
        <f t="shared" si="4"/>
        <v>No</v>
      </c>
      <c r="G214" s="5"/>
    </row>
    <row r="215" spans="1:7" hidden="1" x14ac:dyDescent="0.45">
      <c r="A215" s="1">
        <v>0</v>
      </c>
      <c r="B215" s="1" t="s">
        <v>57</v>
      </c>
      <c r="C215" s="1" t="s">
        <v>58</v>
      </c>
      <c r="D215" s="1" t="str">
        <f t="shared" si="4"/>
        <v>No</v>
      </c>
      <c r="E215" s="1">
        <v>7.1</v>
      </c>
      <c r="F215" s="1" t="str">
        <f>IF(COUNTIF($E$2:$E215, E215)=1, "Unique", "Duplicate")</f>
        <v>Duplicate</v>
      </c>
      <c r="G215" s="5"/>
    </row>
    <row r="216" spans="1:7" hidden="1" x14ac:dyDescent="0.45">
      <c r="A216" s="1">
        <v>1</v>
      </c>
      <c r="B216" s="1" t="s">
        <v>82</v>
      </c>
      <c r="C216" s="1" t="s">
        <v>28</v>
      </c>
      <c r="D216" s="1" t="str">
        <f t="shared" si="4"/>
        <v>No</v>
      </c>
      <c r="G216" s="5"/>
    </row>
    <row r="217" spans="1:7" hidden="1" x14ac:dyDescent="0.45">
      <c r="A217" s="1">
        <v>1</v>
      </c>
      <c r="B217" s="1" t="s">
        <v>46</v>
      </c>
      <c r="C217" s="1" t="s">
        <v>28</v>
      </c>
      <c r="D217" s="1" t="str">
        <f t="shared" si="4"/>
        <v>No</v>
      </c>
      <c r="G217" s="5"/>
    </row>
    <row r="218" spans="1:7" hidden="1" x14ac:dyDescent="0.45">
      <c r="A218" s="1">
        <v>1</v>
      </c>
      <c r="B218" s="1" t="s">
        <v>145</v>
      </c>
      <c r="C218" s="1" t="s">
        <v>28</v>
      </c>
      <c r="D218" s="1" t="str">
        <f t="shared" si="4"/>
        <v>No</v>
      </c>
      <c r="G218" s="5"/>
    </row>
    <row r="219" spans="1:7" hidden="1" x14ac:dyDescent="0.45">
      <c r="A219" s="1">
        <v>0</v>
      </c>
      <c r="B219" s="1" t="s">
        <v>182</v>
      </c>
      <c r="C219" s="1" t="s">
        <v>75</v>
      </c>
      <c r="D219" s="1" t="str">
        <f t="shared" si="4"/>
        <v>No</v>
      </c>
      <c r="E219" s="1" t="s">
        <v>254</v>
      </c>
      <c r="F219" s="1" t="str">
        <f>IF(COUNTIF($E$2:$E219, E219)=1, "Unique", "Duplicate")</f>
        <v>Duplicate</v>
      </c>
      <c r="G219" s="5"/>
    </row>
    <row r="220" spans="1:7" hidden="1" x14ac:dyDescent="0.45">
      <c r="A220" s="1">
        <v>0</v>
      </c>
      <c r="B220" s="1" t="s">
        <v>234</v>
      </c>
      <c r="C220" s="1" t="s">
        <v>137</v>
      </c>
      <c r="D220" s="1" t="str">
        <f t="shared" si="4"/>
        <v>Yes</v>
      </c>
      <c r="E220" s="1" t="s">
        <v>258</v>
      </c>
      <c r="F220" s="1" t="str">
        <f>IF(COUNTIF($E$2:$E220, E220)=1, "Unique", "Duplicate")</f>
        <v>Duplicate</v>
      </c>
      <c r="G220" s="5"/>
    </row>
    <row r="221" spans="1:7" hidden="1" x14ac:dyDescent="0.45">
      <c r="A221" s="1">
        <v>1</v>
      </c>
      <c r="B221" s="1" t="s">
        <v>237</v>
      </c>
      <c r="C221" s="1" t="s">
        <v>28</v>
      </c>
      <c r="D221" s="1" t="str">
        <f t="shared" si="4"/>
        <v>No</v>
      </c>
      <c r="G221" s="5"/>
    </row>
    <row r="222" spans="1:7" hidden="1" x14ac:dyDescent="0.45">
      <c r="A222" s="1">
        <v>1</v>
      </c>
      <c r="B222" s="1" t="s">
        <v>238</v>
      </c>
      <c r="C222" s="1" t="s">
        <v>28</v>
      </c>
      <c r="D222" s="1" t="str">
        <f t="shared" si="4"/>
        <v>No</v>
      </c>
      <c r="G222" s="5"/>
    </row>
    <row r="223" spans="1:7" hidden="1" x14ac:dyDescent="0.45">
      <c r="A223" s="1">
        <v>0</v>
      </c>
      <c r="B223" s="1" t="s">
        <v>239</v>
      </c>
      <c r="C223" s="1" t="s">
        <v>196</v>
      </c>
      <c r="D223" s="1" t="str">
        <f t="shared" si="4"/>
        <v>No</v>
      </c>
      <c r="E223" s="1" t="s">
        <v>274</v>
      </c>
      <c r="F223" s="1" t="str">
        <f>IF(COUNTIF($E$2:$E223, E223)=1, "Unique", "Duplicate")</f>
        <v>Duplicate</v>
      </c>
      <c r="G223" s="5"/>
    </row>
    <row r="224" spans="1:7" hidden="1" x14ac:dyDescent="0.45">
      <c r="A224" s="1">
        <v>1</v>
      </c>
      <c r="B224" s="1" t="s">
        <v>240</v>
      </c>
      <c r="C224" s="1" t="s">
        <v>28</v>
      </c>
      <c r="D224" s="1" t="str">
        <f t="shared" si="4"/>
        <v>No</v>
      </c>
      <c r="G224" s="5"/>
    </row>
    <row r="225" spans="1:7" hidden="1" x14ac:dyDescent="0.45">
      <c r="A225" s="1">
        <v>1</v>
      </c>
      <c r="B225" s="1" t="s">
        <v>241</v>
      </c>
      <c r="C225" s="1" t="s">
        <v>28</v>
      </c>
      <c r="D225" s="1" t="str">
        <f t="shared" si="4"/>
        <v>No</v>
      </c>
      <c r="G225" s="5"/>
    </row>
    <row r="226" spans="1:7" hidden="1" x14ac:dyDescent="0.45">
      <c r="A226" s="1">
        <v>1</v>
      </c>
      <c r="B226" s="1" t="s">
        <v>242</v>
      </c>
      <c r="C226" s="1" t="s">
        <v>28</v>
      </c>
      <c r="D226" s="1" t="str">
        <f t="shared" si="4"/>
        <v>No</v>
      </c>
      <c r="G226" s="5"/>
    </row>
    <row r="227" spans="1:7" hidden="1" x14ac:dyDescent="0.45">
      <c r="A227" s="1">
        <v>1</v>
      </c>
      <c r="B227" s="1" t="s">
        <v>198</v>
      </c>
      <c r="C227" s="1" t="s">
        <v>28</v>
      </c>
      <c r="D227" s="1" t="str">
        <f t="shared" si="4"/>
        <v>No</v>
      </c>
      <c r="G227" s="5"/>
    </row>
    <row r="228" spans="1:7" hidden="1" x14ac:dyDescent="0.45">
      <c r="A228" s="1">
        <v>1</v>
      </c>
      <c r="B228" s="1" t="s">
        <v>221</v>
      </c>
      <c r="C228" s="1" t="s">
        <v>28</v>
      </c>
      <c r="D228" s="1" t="str">
        <f t="shared" si="4"/>
        <v>No</v>
      </c>
      <c r="G228" s="5"/>
    </row>
    <row r="229" spans="1:7" hidden="1" x14ac:dyDescent="0.45">
      <c r="A229" s="1">
        <v>1</v>
      </c>
      <c r="B229" s="1" t="s">
        <v>44</v>
      </c>
      <c r="C229" s="1" t="s">
        <v>28</v>
      </c>
      <c r="D229" s="1" t="str">
        <f t="shared" si="4"/>
        <v>No</v>
      </c>
      <c r="G229" s="5"/>
    </row>
    <row r="230" spans="1:7" hidden="1" x14ac:dyDescent="0.45">
      <c r="A230" s="1">
        <v>0</v>
      </c>
      <c r="B230" s="1" t="s">
        <v>179</v>
      </c>
      <c r="C230" s="1" t="s">
        <v>243</v>
      </c>
      <c r="D230" s="1" t="str">
        <f t="shared" si="4"/>
        <v>Yes</v>
      </c>
      <c r="E230" s="1" t="s">
        <v>279</v>
      </c>
      <c r="F230" s="1" t="str">
        <f>IF(COUNTIF($E$2:$E230, E230)=1, "Unique", "Duplicate")</f>
        <v>Duplicate</v>
      </c>
      <c r="G230" s="5"/>
    </row>
    <row r="231" spans="1:7" hidden="1" x14ac:dyDescent="0.45">
      <c r="A231" s="1">
        <v>1</v>
      </c>
      <c r="B231" s="1" t="s">
        <v>167</v>
      </c>
      <c r="C231" s="1" t="s">
        <v>28</v>
      </c>
      <c r="D231" s="1" t="str">
        <f t="shared" si="4"/>
        <v>No</v>
      </c>
      <c r="G231" s="5"/>
    </row>
    <row r="232" spans="1:7" hidden="1" x14ac:dyDescent="0.45">
      <c r="A232" s="1">
        <v>1</v>
      </c>
      <c r="B232" s="1" t="s">
        <v>172</v>
      </c>
      <c r="C232" s="1" t="s">
        <v>28</v>
      </c>
      <c r="D232" s="1" t="str">
        <f t="shared" si="4"/>
        <v>No</v>
      </c>
      <c r="G232" s="5"/>
    </row>
    <row r="233" spans="1:7" hidden="1" x14ac:dyDescent="0.45">
      <c r="A233" s="1">
        <v>1</v>
      </c>
      <c r="B233" s="1" t="s">
        <v>244</v>
      </c>
      <c r="C233" s="1" t="s">
        <v>28</v>
      </c>
      <c r="D233" s="1" t="str">
        <f t="shared" si="4"/>
        <v>No</v>
      </c>
      <c r="G233" s="5"/>
    </row>
    <row r="234" spans="1:7" hidden="1" x14ac:dyDescent="0.45">
      <c r="A234" s="1">
        <v>1</v>
      </c>
      <c r="B234" s="1" t="s">
        <v>29</v>
      </c>
      <c r="C234" s="1" t="s">
        <v>28</v>
      </c>
      <c r="D234" s="1" t="str">
        <f t="shared" si="4"/>
        <v>No</v>
      </c>
      <c r="G234" s="5"/>
    </row>
    <row r="235" spans="1:7" hidden="1" x14ac:dyDescent="0.45">
      <c r="A235" s="1">
        <v>1</v>
      </c>
      <c r="B235" s="1" t="s">
        <v>245</v>
      </c>
      <c r="C235" s="1" t="s">
        <v>28</v>
      </c>
      <c r="D235" s="1" t="str">
        <f t="shared" si="4"/>
        <v>No</v>
      </c>
      <c r="G235" s="5"/>
    </row>
    <row r="236" spans="1:7" hidden="1" x14ac:dyDescent="0.45">
      <c r="A236" s="1">
        <v>1</v>
      </c>
      <c r="B236" s="1" t="s">
        <v>102</v>
      </c>
      <c r="C236" s="1" t="s">
        <v>28</v>
      </c>
      <c r="D236" s="1" t="str">
        <f t="shared" si="4"/>
        <v>No</v>
      </c>
      <c r="G236" s="5"/>
    </row>
    <row r="237" spans="1:7" hidden="1" x14ac:dyDescent="0.45">
      <c r="A237" s="1">
        <v>1</v>
      </c>
      <c r="B237" s="1" t="s">
        <v>95</v>
      </c>
      <c r="C237" s="1" t="s">
        <v>28</v>
      </c>
      <c r="D237" s="1" t="str">
        <f t="shared" si="4"/>
        <v>No</v>
      </c>
      <c r="G237" s="5"/>
    </row>
    <row r="238" spans="1:7" hidden="1" x14ac:dyDescent="0.45">
      <c r="A238" s="1">
        <v>0</v>
      </c>
      <c r="B238" s="1" t="s">
        <v>147</v>
      </c>
      <c r="C238" s="1" t="s">
        <v>246</v>
      </c>
      <c r="D238" s="1" t="str">
        <f t="shared" si="4"/>
        <v>Yes</v>
      </c>
      <c r="E238" s="1" t="s">
        <v>276</v>
      </c>
      <c r="F238" s="1" t="str">
        <f>IF(COUNTIF($E$2:$E238, E238)=1, "Unique", "Duplicate")</f>
        <v>Duplicate</v>
      </c>
      <c r="G238" s="5"/>
    </row>
    <row r="239" spans="1:7" hidden="1" x14ac:dyDescent="0.45">
      <c r="A239" s="1">
        <v>1</v>
      </c>
      <c r="B239" s="1" t="s">
        <v>96</v>
      </c>
      <c r="C239" s="1" t="s">
        <v>28</v>
      </c>
      <c r="D239" s="1" t="str">
        <f t="shared" si="4"/>
        <v>No</v>
      </c>
      <c r="G239" s="5"/>
    </row>
    <row r="240" spans="1:7" hidden="1" x14ac:dyDescent="0.45">
      <c r="A240" s="1">
        <v>1</v>
      </c>
      <c r="B240" s="1" t="s">
        <v>247</v>
      </c>
      <c r="C240" s="1" t="s">
        <v>28</v>
      </c>
      <c r="D240" s="1" t="str">
        <f t="shared" si="4"/>
        <v>No</v>
      </c>
      <c r="G240" s="5"/>
    </row>
    <row r="241" spans="1:7" hidden="1" x14ac:dyDescent="0.45">
      <c r="A241" s="1">
        <v>1</v>
      </c>
      <c r="B241" s="1" t="s">
        <v>84</v>
      </c>
      <c r="C241" s="1" t="s">
        <v>28</v>
      </c>
      <c r="D241" s="1" t="str">
        <f t="shared" si="4"/>
        <v>No</v>
      </c>
      <c r="G241" s="5"/>
    </row>
    <row r="242" spans="1:7" hidden="1" x14ac:dyDescent="0.45">
      <c r="A242" s="1">
        <v>1</v>
      </c>
      <c r="B242" s="1" t="s">
        <v>152</v>
      </c>
      <c r="C242" s="1" t="s">
        <v>28</v>
      </c>
      <c r="D242" s="1" t="str">
        <f t="shared" si="4"/>
        <v>No</v>
      </c>
      <c r="G242" s="5"/>
    </row>
    <row r="243" spans="1:7" hidden="1" x14ac:dyDescent="0.45">
      <c r="A243" s="1">
        <v>1</v>
      </c>
      <c r="B243" s="1" t="s">
        <v>64</v>
      </c>
      <c r="C243" s="1" t="s">
        <v>28</v>
      </c>
      <c r="D243" s="1" t="str">
        <f t="shared" si="4"/>
        <v>No</v>
      </c>
      <c r="G243" s="5"/>
    </row>
    <row r="244" spans="1:7" hidden="1" x14ac:dyDescent="0.45">
      <c r="A244" s="1">
        <v>1</v>
      </c>
      <c r="B244" s="1" t="s">
        <v>133</v>
      </c>
      <c r="C244" s="1" t="s">
        <v>28</v>
      </c>
      <c r="D244" s="1" t="str">
        <f t="shared" si="4"/>
        <v>No</v>
      </c>
      <c r="G244" s="5"/>
    </row>
    <row r="245" spans="1:7" hidden="1" x14ac:dyDescent="0.45">
      <c r="A245" s="1">
        <v>0</v>
      </c>
      <c r="B245" s="1" t="s">
        <v>97</v>
      </c>
      <c r="C245" s="1" t="s">
        <v>53</v>
      </c>
      <c r="D245" s="1" t="str">
        <f t="shared" si="4"/>
        <v>No</v>
      </c>
      <c r="E245" s="1">
        <v>13.6</v>
      </c>
      <c r="F245" s="1" t="str">
        <f>IF(COUNTIF($E$2:$E245, E245)=1, "Unique", "Duplicate")</f>
        <v>Duplicate</v>
      </c>
      <c r="G245" s="5"/>
    </row>
    <row r="246" spans="1:7" hidden="1" x14ac:dyDescent="0.45">
      <c r="A246" s="1">
        <v>1</v>
      </c>
      <c r="B246" s="1" t="s">
        <v>113</v>
      </c>
      <c r="C246" s="1" t="s">
        <v>28</v>
      </c>
      <c r="D246" s="1" t="str">
        <f t="shared" si="4"/>
        <v>No</v>
      </c>
      <c r="G246" s="5"/>
    </row>
    <row r="247" spans="1:7" hidden="1" x14ac:dyDescent="0.45">
      <c r="A247" s="1">
        <v>1</v>
      </c>
      <c r="B247" s="1" t="s">
        <v>70</v>
      </c>
      <c r="C247" s="1" t="s">
        <v>28</v>
      </c>
      <c r="D247" s="1" t="str">
        <f t="shared" si="4"/>
        <v>No</v>
      </c>
      <c r="G247" s="5"/>
    </row>
    <row r="248" spans="1:7" hidden="1" x14ac:dyDescent="0.45">
      <c r="A248" s="1">
        <v>1</v>
      </c>
      <c r="B248" s="1" t="s">
        <v>248</v>
      </c>
      <c r="C248" s="1" t="s">
        <v>28</v>
      </c>
      <c r="D248" s="1" t="str">
        <f t="shared" si="4"/>
        <v>No</v>
      </c>
      <c r="G248" s="5"/>
    </row>
    <row r="249" spans="1:7" hidden="1" x14ac:dyDescent="0.45">
      <c r="A249" s="1">
        <v>1</v>
      </c>
      <c r="B249" s="1" t="s">
        <v>249</v>
      </c>
      <c r="C249" s="1" t="s">
        <v>28</v>
      </c>
      <c r="D249" s="1" t="str">
        <f t="shared" si="4"/>
        <v>No</v>
      </c>
      <c r="G249" s="5"/>
    </row>
    <row r="250" spans="1:7" hidden="1" x14ac:dyDescent="0.45">
      <c r="A250" s="1">
        <v>1</v>
      </c>
      <c r="B250" s="1" t="s">
        <v>250</v>
      </c>
      <c r="C250" s="1" t="s">
        <v>28</v>
      </c>
      <c r="D250" s="1" t="str">
        <f t="shared" si="4"/>
        <v>No</v>
      </c>
      <c r="G250" s="5"/>
    </row>
    <row r="251" spans="1:7" hidden="1" x14ac:dyDescent="0.45">
      <c r="A251" s="1">
        <v>1</v>
      </c>
      <c r="B251" s="1" t="s">
        <v>59</v>
      </c>
      <c r="C251" s="1" t="s">
        <v>28</v>
      </c>
      <c r="D251" s="1" t="str">
        <f t="shared" si="4"/>
        <v>No</v>
      </c>
      <c r="G251" s="5"/>
    </row>
    <row r="252" spans="1:7" x14ac:dyDescent="0.45">
      <c r="A252" s="1">
        <f t="shared" ref="A252:F252" si="5">SUBTOTAL(109,A2:A251)</f>
        <v>0</v>
      </c>
      <c r="B252" s="1">
        <f t="shared" si="5"/>
        <v>0</v>
      </c>
      <c r="C252" s="1">
        <f t="shared" si="5"/>
        <v>0</v>
      </c>
      <c r="D252" s="1">
        <f t="shared" si="5"/>
        <v>0</v>
      </c>
      <c r="E252" s="1">
        <f t="shared" si="5"/>
        <v>30.1</v>
      </c>
      <c r="F252" s="1">
        <f t="shared" si="5"/>
        <v>0</v>
      </c>
    </row>
    <row r="253" spans="1:7" x14ac:dyDescent="0.45">
      <c r="B253" s="1" t="s">
        <v>28</v>
      </c>
    </row>
    <row r="254" spans="1:7" x14ac:dyDescent="0.45">
      <c r="B254" s="1" t="s">
        <v>1</v>
      </c>
    </row>
  </sheetData>
  <sortState xmlns:xlrd2="http://schemas.microsoft.com/office/spreadsheetml/2017/richdata2" ref="A1:F254">
    <sortCondition descending="1" ref="F1:F254"/>
  </sortState>
  <phoneticPr fontId="18" type="noConversion"/>
  <conditionalFormatting sqref="E2:E251">
    <cfRule type="expression" dxfId="0" priority="7">
      <formula>AND(COUNTIFS(D:D, D2)&gt;1, ISNUMBER(SEARCH("?.?.?.?", D2)))</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quick_context_excel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Lj Fitzgerald</dc:creator>
  <cp:lastModifiedBy>Lj Fitzgerald</cp:lastModifiedBy>
  <dcterms:created xsi:type="dcterms:W3CDTF">2023-10-27T15:56:32Z</dcterms:created>
  <dcterms:modified xsi:type="dcterms:W3CDTF">2023-10-27T21:13:42Z</dcterms:modified>
</cp:coreProperties>
</file>